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ctivos" sheetId="1" state="visible" r:id="rId1"/>
    <sheet xmlns:r="http://schemas.openxmlformats.org/officeDocument/2006/relationships" name="Pesos_Dimensiones" sheetId="2" state="visible" r:id="rId2"/>
    <sheet xmlns:r="http://schemas.openxmlformats.org/officeDocument/2006/relationships" name="Resumen_Dimensiones" sheetId="3" state="visible" r:id="rId3"/>
    <sheet xmlns:r="http://schemas.openxmlformats.org/officeDocument/2006/relationships" name="Niveles_Corte" sheetId="4" state="visible" r:id="rId4"/>
    <sheet xmlns:r="http://schemas.openxmlformats.org/officeDocument/2006/relationships" name="SEM_IC" sheetId="5" state="visible" r:id="rId5"/>
    <sheet xmlns:r="http://schemas.openxmlformats.org/officeDocument/2006/relationships" name="Deseabilidad_Social" sheetId="6" state="visible" r:id="rId6"/>
    <sheet xmlns:r="http://schemas.openxmlformats.org/officeDocument/2006/relationships" name="Azarosidad_Control" sheetId="7" state="visible" r:id="rId7"/>
    <sheet xmlns:r="http://schemas.openxmlformats.org/officeDocument/2006/relationships" name="Notas"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font>
    <font>
      <b val="1"/>
      <sz val="13"/>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0" fontId="1"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1"/>
  <sheetViews>
    <sheetView workbookViewId="0">
      <selection activeCell="A1" sqref="A1"/>
    </sheetView>
  </sheetViews>
  <sheetFormatPr baseColWidth="8" defaultRowHeight="15"/>
  <cols>
    <col width="7" customWidth="1" min="1" max="1"/>
    <col width="26" customWidth="1" min="2" max="2"/>
    <col width="11" customWidth="1" min="3" max="3"/>
    <col width="34" customWidth="1" min="4" max="4"/>
    <col width="24" customWidth="1" min="5" max="5"/>
    <col width="8" customWidth="1" min="6" max="6"/>
    <col width="8" customWidth="1" min="7" max="7"/>
    <col width="9" customWidth="1" min="8" max="8"/>
    <col width="14" customWidth="1" min="9" max="9"/>
    <col width="12" customWidth="1" min="10" max="10"/>
    <col width="14" customWidth="1" min="11" max="11"/>
    <col width="12" customWidth="1" min="12" max="12"/>
    <col width="12" customWidth="1" min="13" max="13"/>
    <col width="14" customWidth="1" min="14" max="14"/>
    <col width="12" customWidth="1" min="15" max="15"/>
    <col width="14" customWidth="1" min="16" max="16"/>
    <col width="16" customWidth="1" min="17" max="17"/>
  </cols>
  <sheetData>
    <row r="1">
      <c r="A1" s="1" t="inlineStr">
        <is>
          <t>ID</t>
        </is>
      </c>
      <c r="B1" s="1" t="inlineStr">
        <is>
          <t>Dimension</t>
        </is>
      </c>
      <c r="C1" s="1" t="inlineStr">
        <is>
          <t>Grupo</t>
        </is>
      </c>
      <c r="D1" s="1" t="inlineStr">
        <is>
          <t>Subdimension</t>
        </is>
      </c>
      <c r="E1" s="1" t="inlineStr">
        <is>
          <t>Tipo de reactivo</t>
        </is>
      </c>
      <c r="F1" s="1" t="inlineStr">
        <is>
          <t>Valor min crudo</t>
        </is>
      </c>
      <c r="G1" s="1" t="inlineStr">
        <is>
          <t>Valor max crudo</t>
        </is>
      </c>
      <c r="H1" s="1" t="inlineStr">
        <is>
          <t>Direccion</t>
        </is>
      </c>
      <c r="I1" s="1" t="inlineStr">
        <is>
          <t>Respuesta cruda (ejemplo, editable)</t>
        </is>
      </c>
      <c r="J1" s="1" t="inlineStr">
        <is>
          <t>Valor transformado</t>
        </is>
      </c>
      <c r="K1" s="1" t="inlineStr">
        <is>
          <t>Valor normalizado (0-1)</t>
        </is>
      </c>
      <c r="L1" s="1" t="inlineStr">
        <is>
          <t>Par espejo relacionado</t>
        </is>
      </c>
      <c r="M1" s="1" t="inlineStr">
        <is>
          <t>Aplica regla de inconsistencia</t>
        </is>
      </c>
      <c r="N1" s="1" t="inlineStr">
        <is>
          <t>Peso de la dimension (parametrizable)</t>
        </is>
      </c>
      <c r="O1" s="1" t="inlineStr">
        <is>
          <t>Peso del reactivo en su dimension</t>
        </is>
      </c>
      <c r="P1" s="1" t="inlineStr">
        <is>
          <t>Contribucion maxima al indice general</t>
        </is>
      </c>
      <c r="Q1" s="1" t="inlineStr">
        <is>
          <t>Contribucion actual (con respuesta de ejemplo)</t>
        </is>
      </c>
    </row>
    <row r="2">
      <c r="A2" t="inlineStr">
        <is>
          <t>R001</t>
        </is>
      </c>
      <c r="B2" t="inlineStr">
        <is>
          <t>Robo</t>
        </is>
      </c>
      <c r="C2">
        <f>INDEX(Pesos_Dimensiones!$B$2:$B$22,MATCH(B2,Pesos_Dimensiones!$A$2:$A$22,0))</f>
        <v/>
      </c>
      <c r="D2" t="inlineStr">
        <is>
          <t>Opinión/Actitud — indicador 1 (Apropiación de bienes materiales ajenos (dinero, mercancía, insumos).)</t>
        </is>
      </c>
      <c r="E2" t="inlineStr">
        <is>
          <t>1-Opinión/Actitud</t>
        </is>
      </c>
      <c r="F2" t="n">
        <v>0</v>
      </c>
      <c r="G2" t="n">
        <v>4</v>
      </c>
      <c r="H2" t="inlineStr">
        <is>
          <t>Directo</t>
        </is>
      </c>
      <c r="I2" t="n">
        <v>0</v>
      </c>
      <c r="J2">
        <f>IF(H2="Inverso",G2-I2,I2)</f>
        <v/>
      </c>
      <c r="K2">
        <f>IFERROR(J2/G2,0)</f>
        <v/>
      </c>
      <c r="L2" t="inlineStr">
        <is>
          <t>R002</t>
        </is>
      </c>
      <c r="M2" t="inlineStr">
        <is>
          <t>Si</t>
        </is>
      </c>
      <c r="N2">
        <f>INDEX(Pesos_Dimensiones!$C$2:$C$22,MATCH(B2,Pesos_Dimensiones!$A$2:$A$22,0))</f>
        <v/>
      </c>
      <c r="O2">
        <f>1/COUNTIF($B$2:$B$211,B2)</f>
        <v/>
      </c>
      <c r="P2">
        <f>IF(OR(C2="Base",C2="Adicional"),N2*O2,0)</f>
        <v/>
      </c>
      <c r="Q2">
        <f>K2*P2</f>
        <v/>
      </c>
    </row>
    <row r="3">
      <c r="A3" t="inlineStr">
        <is>
          <t>R002</t>
        </is>
      </c>
      <c r="B3" t="inlineStr">
        <is>
          <t>Robo</t>
        </is>
      </c>
      <c r="C3">
        <f>INDEX(Pesos_Dimensiones!$B$2:$B$22,MATCH(B3,Pesos_Dimensiones!$A$2:$A$22,0))</f>
        <v/>
      </c>
      <c r="D3" t="inlineStr">
        <is>
          <t>Intención futura — indicador 1 (Apropiación de bienes materiales ajenos (dinero, mercancía, insumos).)</t>
        </is>
      </c>
      <c r="E3" t="inlineStr">
        <is>
          <t>6-Intención futura</t>
        </is>
      </c>
      <c r="F3" t="n">
        <v>0</v>
      </c>
      <c r="G3" t="n">
        <v>4</v>
      </c>
      <c r="H3" t="inlineStr">
        <is>
          <t>Inverso</t>
        </is>
      </c>
      <c r="I3" t="n">
        <v>0</v>
      </c>
      <c r="J3">
        <f>IF(H3="Inverso",G3-I3,I3)</f>
        <v/>
      </c>
      <c r="K3">
        <f>IFERROR(J3/G3,0)</f>
        <v/>
      </c>
      <c r="L3" t="inlineStr">
        <is>
          <t>R001</t>
        </is>
      </c>
      <c r="M3" t="inlineStr">
        <is>
          <t>Si</t>
        </is>
      </c>
      <c r="N3">
        <f>INDEX(Pesos_Dimensiones!$C$2:$C$22,MATCH(B3,Pesos_Dimensiones!$A$2:$A$22,0))</f>
        <v/>
      </c>
      <c r="O3">
        <f>1/COUNTIF($B$2:$B$211,B3)</f>
        <v/>
      </c>
      <c r="P3">
        <f>IF(OR(C3="Base",C3="Adicional"),N3*O3,0)</f>
        <v/>
      </c>
      <c r="Q3">
        <f>K3*P3</f>
        <v/>
      </c>
    </row>
    <row r="4">
      <c r="A4" t="inlineStr">
        <is>
          <t>R003</t>
        </is>
      </c>
      <c r="B4" t="inlineStr">
        <is>
          <t>Robo</t>
        </is>
      </c>
      <c r="C4">
        <f>INDEX(Pesos_Dimensiones!$B$2:$B$22,MATCH(B4,Pesos_Dimensiones!$A$2:$A$22,0))</f>
        <v/>
      </c>
      <c r="D4" t="inlineStr">
        <is>
          <t>Involucramiento pasado — indicador 2 (Uso no autorizado de información confidencial o propiedad intelectual …)</t>
        </is>
      </c>
      <c r="E4" t="inlineStr">
        <is>
          <t>3-Involucramiento pasado</t>
        </is>
      </c>
      <c r="F4" t="n">
        <v>0</v>
      </c>
      <c r="G4" t="n">
        <v>4</v>
      </c>
      <c r="H4" t="inlineStr">
        <is>
          <t>Directo</t>
        </is>
      </c>
      <c r="I4" t="n">
        <v>0</v>
      </c>
      <c r="J4">
        <f>IF(H4="Inverso",G4-I4,I4)</f>
        <v/>
      </c>
      <c r="K4">
        <f>IFERROR(J4/G4,0)</f>
        <v/>
      </c>
      <c r="L4" t="inlineStr">
        <is>
          <t>R004</t>
        </is>
      </c>
      <c r="M4" t="inlineStr">
        <is>
          <t>Si</t>
        </is>
      </c>
      <c r="N4">
        <f>INDEX(Pesos_Dimensiones!$C$2:$C$22,MATCH(B4,Pesos_Dimensiones!$A$2:$A$22,0))</f>
        <v/>
      </c>
      <c r="O4">
        <f>1/COUNTIF($B$2:$B$211,B4)</f>
        <v/>
      </c>
      <c r="P4">
        <f>IF(OR(C4="Base",C4="Adicional"),N4*O4,0)</f>
        <v/>
      </c>
      <c r="Q4">
        <f>K4*P4</f>
        <v/>
      </c>
    </row>
    <row r="5">
      <c r="A5" t="inlineStr">
        <is>
          <t>R004</t>
        </is>
      </c>
      <c r="B5" t="inlineStr">
        <is>
          <t>Robo</t>
        </is>
      </c>
      <c r="C5">
        <f>INDEX(Pesos_Dimensiones!$B$2:$B$22,MATCH(B5,Pesos_Dimensiones!$A$2:$A$22,0))</f>
        <v/>
      </c>
      <c r="D5" t="inlineStr">
        <is>
          <t>Escenario/dilema — indicador 2 (Uso no autorizado de información confidencial o propiedad intelectual …)</t>
        </is>
      </c>
      <c r="E5" t="inlineStr">
        <is>
          <t>4-Escenario/dilema</t>
        </is>
      </c>
      <c r="F5" t="n">
        <v>0</v>
      </c>
      <c r="G5" t="n">
        <v>3</v>
      </c>
      <c r="H5" t="inlineStr">
        <is>
          <t>Directo</t>
        </is>
      </c>
      <c r="I5" t="n">
        <v>0</v>
      </c>
      <c r="J5">
        <f>IF(H5="Inverso",G5-I5,I5)</f>
        <v/>
      </c>
      <c r="K5">
        <f>IFERROR(J5/G5,0)</f>
        <v/>
      </c>
      <c r="L5" t="inlineStr">
        <is>
          <t>R003</t>
        </is>
      </c>
      <c r="M5" t="inlineStr">
        <is>
          <t>Si</t>
        </is>
      </c>
      <c r="N5">
        <f>INDEX(Pesos_Dimensiones!$C$2:$C$22,MATCH(B5,Pesos_Dimensiones!$A$2:$A$22,0))</f>
        <v/>
      </c>
      <c r="O5">
        <f>1/COUNTIF($B$2:$B$211,B5)</f>
        <v/>
      </c>
      <c r="P5">
        <f>IF(OR(C5="Base",C5="Adicional"),N5*O5,0)</f>
        <v/>
      </c>
      <c r="Q5">
        <f>K5*P5</f>
        <v/>
      </c>
    </row>
    <row r="6">
      <c r="A6" t="inlineStr">
        <is>
          <t>R005</t>
        </is>
      </c>
      <c r="B6" t="inlineStr">
        <is>
          <t>Robo</t>
        </is>
      </c>
      <c r="C6">
        <f>INDEX(Pesos_Dimensiones!$B$2:$B$22,MATCH(B6,Pesos_Dimensiones!$A$2:$A$22,0))</f>
        <v/>
      </c>
      <c r="D6" t="inlineStr">
        <is>
          <t>Percepción de terceros — indicador 3 (Sustracción de tiempo laboral remunerado (reportar horas no trabajadas…)</t>
        </is>
      </c>
      <c r="E6" t="inlineStr">
        <is>
          <t>2-Percepción de terceros</t>
        </is>
      </c>
      <c r="F6" t="n">
        <v>0</v>
      </c>
      <c r="G6" t="n">
        <v>3</v>
      </c>
      <c r="H6" t="inlineStr">
        <is>
          <t>Directo</t>
        </is>
      </c>
      <c r="I6" t="n">
        <v>0</v>
      </c>
      <c r="J6">
        <f>IF(H6="Inverso",G6-I6,I6)</f>
        <v/>
      </c>
      <c r="K6">
        <f>IFERROR(J6/G6,0)</f>
        <v/>
      </c>
      <c r="L6" t="inlineStr">
        <is>
          <t>R006</t>
        </is>
      </c>
      <c r="M6" t="inlineStr">
        <is>
          <t>Si</t>
        </is>
      </c>
      <c r="N6">
        <f>INDEX(Pesos_Dimensiones!$C$2:$C$22,MATCH(B6,Pesos_Dimensiones!$A$2:$A$22,0))</f>
        <v/>
      </c>
      <c r="O6">
        <f>1/COUNTIF($B$2:$B$211,B6)</f>
        <v/>
      </c>
      <c r="P6">
        <f>IF(OR(C6="Base",C6="Adicional"),N6*O6,0)</f>
        <v/>
      </c>
      <c r="Q6">
        <f>K6*P6</f>
        <v/>
      </c>
    </row>
    <row r="7">
      <c r="A7" t="inlineStr">
        <is>
          <t>R006</t>
        </is>
      </c>
      <c r="B7" t="inlineStr">
        <is>
          <t>Robo</t>
        </is>
      </c>
      <c r="C7">
        <f>INDEX(Pesos_Dimensiones!$B$2:$B$22,MATCH(B7,Pesos_Dimensiones!$A$2:$A$22,0))</f>
        <v/>
      </c>
      <c r="D7" t="inlineStr">
        <is>
          <t>Opinión/Actitud — indicador 3 (Sustracción de tiempo laboral remunerado (reportar horas no trabajadas…)</t>
        </is>
      </c>
      <c r="E7" t="inlineStr">
        <is>
          <t>1-Opinión/Actitud</t>
        </is>
      </c>
      <c r="F7" t="n">
        <v>0</v>
      </c>
      <c r="G7" t="n">
        <v>4</v>
      </c>
      <c r="H7" t="inlineStr">
        <is>
          <t>Directo</t>
        </is>
      </c>
      <c r="I7" t="n">
        <v>0</v>
      </c>
      <c r="J7">
        <f>IF(H7="Inverso",G7-I7,I7)</f>
        <v/>
      </c>
      <c r="K7">
        <f>IFERROR(J7/G7,0)</f>
        <v/>
      </c>
      <c r="L7" t="inlineStr">
        <is>
          <t>R005</t>
        </is>
      </c>
      <c r="M7" t="inlineStr">
        <is>
          <t>Si</t>
        </is>
      </c>
      <c r="N7">
        <f>INDEX(Pesos_Dimensiones!$C$2:$C$22,MATCH(B7,Pesos_Dimensiones!$A$2:$A$22,0))</f>
        <v/>
      </c>
      <c r="O7">
        <f>1/COUNTIF($B$2:$B$211,B7)</f>
        <v/>
      </c>
      <c r="P7">
        <f>IF(OR(C7="Base",C7="Adicional"),N7*O7,0)</f>
        <v/>
      </c>
      <c r="Q7">
        <f>K7*P7</f>
        <v/>
      </c>
    </row>
    <row r="8">
      <c r="A8" t="inlineStr">
        <is>
          <t>R007</t>
        </is>
      </c>
      <c r="B8" t="inlineStr">
        <is>
          <t>Robo</t>
        </is>
      </c>
      <c r="C8">
        <f>INDEX(Pesos_Dimensiones!$B$2:$B$22,MATCH(B8,Pesos_Dimensiones!$A$2:$A$22,0))</f>
        <v/>
      </c>
      <c r="D8" t="inlineStr">
        <is>
          <t>Involucramiento pasado — indicador 4 (Racionalización de la sustracción como "no es robo real" cuando el dañ…)</t>
        </is>
      </c>
      <c r="E8" t="inlineStr">
        <is>
          <t>3-Involucramiento pasado</t>
        </is>
      </c>
      <c r="F8" t="n">
        <v>0</v>
      </c>
      <c r="G8" t="n">
        <v>4</v>
      </c>
      <c r="H8" t="inlineStr">
        <is>
          <t>Directo</t>
        </is>
      </c>
      <c r="I8" t="n">
        <v>0</v>
      </c>
      <c r="J8">
        <f>IF(H8="Inverso",G8-I8,I8)</f>
        <v/>
      </c>
      <c r="K8">
        <f>IFERROR(J8/G8,0)</f>
        <v/>
      </c>
      <c r="L8" t="inlineStr">
        <is>
          <t>R008</t>
        </is>
      </c>
      <c r="M8" t="inlineStr">
        <is>
          <t>Si</t>
        </is>
      </c>
      <c r="N8">
        <f>INDEX(Pesos_Dimensiones!$C$2:$C$22,MATCH(B8,Pesos_Dimensiones!$A$2:$A$22,0))</f>
        <v/>
      </c>
      <c r="O8">
        <f>1/COUNTIF($B$2:$B$211,B8)</f>
        <v/>
      </c>
      <c r="P8">
        <f>IF(OR(C8="Base",C8="Adicional"),N8*O8,0)</f>
        <v/>
      </c>
      <c r="Q8">
        <f>K8*P8</f>
        <v/>
      </c>
    </row>
    <row r="9">
      <c r="A9" t="inlineStr">
        <is>
          <t>R008</t>
        </is>
      </c>
      <c r="B9" t="inlineStr">
        <is>
          <t>Robo</t>
        </is>
      </c>
      <c r="C9">
        <f>INDEX(Pesos_Dimensiones!$B$2:$B$22,MATCH(B9,Pesos_Dimensiones!$A$2:$A$22,0))</f>
        <v/>
      </c>
      <c r="D9" t="inlineStr">
        <is>
          <t>Intención futura — indicador 4 (Racionalización de la sustracción como "no es robo real" cuando el dañ…)</t>
        </is>
      </c>
      <c r="E9" t="inlineStr">
        <is>
          <t>6-Intención futura</t>
        </is>
      </c>
      <c r="F9" t="n">
        <v>0</v>
      </c>
      <c r="G9" t="n">
        <v>4</v>
      </c>
      <c r="H9" t="inlineStr">
        <is>
          <t>Inverso</t>
        </is>
      </c>
      <c r="I9" t="n">
        <v>0</v>
      </c>
      <c r="J9">
        <f>IF(H9="Inverso",G9-I9,I9)</f>
        <v/>
      </c>
      <c r="K9">
        <f>IFERROR(J9/G9,0)</f>
        <v/>
      </c>
      <c r="L9" t="inlineStr">
        <is>
          <t>R007</t>
        </is>
      </c>
      <c r="M9" t="inlineStr">
        <is>
          <t>Si</t>
        </is>
      </c>
      <c r="N9">
        <f>INDEX(Pesos_Dimensiones!$C$2:$C$22,MATCH(B9,Pesos_Dimensiones!$A$2:$A$22,0))</f>
        <v/>
      </c>
      <c r="O9">
        <f>1/COUNTIF($B$2:$B$211,B9)</f>
        <v/>
      </c>
      <c r="P9">
        <f>IF(OR(C9="Base",C9="Adicional"),N9*O9,0)</f>
        <v/>
      </c>
      <c r="Q9">
        <f>K9*P9</f>
        <v/>
      </c>
    </row>
    <row r="10">
      <c r="A10" t="inlineStr">
        <is>
          <t>R009</t>
        </is>
      </c>
      <c r="B10" t="inlineStr">
        <is>
          <t>Robo</t>
        </is>
      </c>
      <c r="C10">
        <f>INDEX(Pesos_Dimensiones!$B$2:$B$22,MATCH(B10,Pesos_Dimensiones!$A$2:$A$22,0))</f>
        <v/>
      </c>
      <c r="D10" t="inlineStr">
        <is>
          <t>Escenario/dilema — indicador 1 (Apropiación de bienes materiales ajenos (dinero, mercancía, insumos).)</t>
        </is>
      </c>
      <c r="E10" t="inlineStr">
        <is>
          <t>4-Escenario/dilema</t>
        </is>
      </c>
      <c r="F10" t="n">
        <v>0</v>
      </c>
      <c r="G10" t="n">
        <v>3</v>
      </c>
      <c r="H10" t="inlineStr">
        <is>
          <t>Directo</t>
        </is>
      </c>
      <c r="I10" t="n">
        <v>0</v>
      </c>
      <c r="J10">
        <f>IF(H10="Inverso",G10-I10,I10)</f>
        <v/>
      </c>
      <c r="K10">
        <f>IFERROR(J10/G10,0)</f>
        <v/>
      </c>
      <c r="L10" t="inlineStr">
        <is>
          <t>R010</t>
        </is>
      </c>
      <c r="M10" t="inlineStr">
        <is>
          <t>Si</t>
        </is>
      </c>
      <c r="N10">
        <f>INDEX(Pesos_Dimensiones!$C$2:$C$22,MATCH(B10,Pesos_Dimensiones!$A$2:$A$22,0))</f>
        <v/>
      </c>
      <c r="O10">
        <f>1/COUNTIF($B$2:$B$211,B10)</f>
        <v/>
      </c>
      <c r="P10">
        <f>IF(OR(C10="Base",C10="Adicional"),N10*O10,0)</f>
        <v/>
      </c>
      <c r="Q10">
        <f>K10*P10</f>
        <v/>
      </c>
    </row>
    <row r="11">
      <c r="A11" t="inlineStr">
        <is>
          <t>R010</t>
        </is>
      </c>
      <c r="B11" t="inlineStr">
        <is>
          <t>Robo</t>
        </is>
      </c>
      <c r="C11">
        <f>INDEX(Pesos_Dimensiones!$B$2:$B$22,MATCH(B11,Pesos_Dimensiones!$A$2:$A$22,0))</f>
        <v/>
      </c>
      <c r="D11" t="inlineStr">
        <is>
          <t>Percepción de terceros — indicador 1 (Apropiación de bienes materiales ajenos (dinero, mercancía, insumos).)</t>
        </is>
      </c>
      <c r="E11" t="inlineStr">
        <is>
          <t>2-Percepción de terceros</t>
        </is>
      </c>
      <c r="F11" t="n">
        <v>0</v>
      </c>
      <c r="G11" t="n">
        <v>3</v>
      </c>
      <c r="H11" t="inlineStr">
        <is>
          <t>Directo</t>
        </is>
      </c>
      <c r="I11" t="n">
        <v>0</v>
      </c>
      <c r="J11">
        <f>IF(H11="Inverso",G11-I11,I11)</f>
        <v/>
      </c>
      <c r="K11">
        <f>IFERROR(J11/G11,0)</f>
        <v/>
      </c>
      <c r="L11" t="inlineStr">
        <is>
          <t>R009</t>
        </is>
      </c>
      <c r="M11" t="inlineStr">
        <is>
          <t>Si</t>
        </is>
      </c>
      <c r="N11">
        <f>INDEX(Pesos_Dimensiones!$C$2:$C$22,MATCH(B11,Pesos_Dimensiones!$A$2:$A$22,0))</f>
        <v/>
      </c>
      <c r="O11">
        <f>1/COUNTIF($B$2:$B$211,B11)</f>
        <v/>
      </c>
      <c r="P11">
        <f>IF(OR(C11="Base",C11="Adicional"),N11*O11,0)</f>
        <v/>
      </c>
      <c r="Q11">
        <f>K11*P11</f>
        <v/>
      </c>
    </row>
    <row r="12">
      <c r="A12" t="inlineStr">
        <is>
          <t>R011</t>
        </is>
      </c>
      <c r="B12" t="inlineStr">
        <is>
          <t>Mentira</t>
        </is>
      </c>
      <c r="C12">
        <f>INDEX(Pesos_Dimensiones!$B$2:$B$22,MATCH(B12,Pesos_Dimensiones!$A$2:$A$22,0))</f>
        <v/>
      </c>
      <c r="D12" t="inlineStr">
        <is>
          <t>Opinión/Actitud — indicador 1 (Frecuencia declarada de afirmaciones falsas para evitar consecuencias …)</t>
        </is>
      </c>
      <c r="E12" t="inlineStr">
        <is>
          <t>1-Opinión/Actitud</t>
        </is>
      </c>
      <c r="F12" t="n">
        <v>0</v>
      </c>
      <c r="G12" t="n">
        <v>4</v>
      </c>
      <c r="H12" t="inlineStr">
        <is>
          <t>Directo</t>
        </is>
      </c>
      <c r="I12" t="n">
        <v>0</v>
      </c>
      <c r="J12">
        <f>IF(H12="Inverso",G12-I12,I12)</f>
        <v/>
      </c>
      <c r="K12">
        <f>IFERROR(J12/G12,0)</f>
        <v/>
      </c>
      <c r="L12" t="inlineStr">
        <is>
          <t>R012</t>
        </is>
      </c>
      <c r="M12" t="inlineStr">
        <is>
          <t>Si</t>
        </is>
      </c>
      <c r="N12">
        <f>INDEX(Pesos_Dimensiones!$C$2:$C$22,MATCH(B12,Pesos_Dimensiones!$A$2:$A$22,0))</f>
        <v/>
      </c>
      <c r="O12">
        <f>1/COUNTIF($B$2:$B$211,B12)</f>
        <v/>
      </c>
      <c r="P12">
        <f>IF(OR(C12="Base",C12="Adicional"),N12*O12,0)</f>
        <v/>
      </c>
      <c r="Q12">
        <f>K12*P12</f>
        <v/>
      </c>
    </row>
    <row r="13">
      <c r="A13" t="inlineStr">
        <is>
          <t>R012</t>
        </is>
      </c>
      <c r="B13" t="inlineStr">
        <is>
          <t>Mentira</t>
        </is>
      </c>
      <c r="C13">
        <f>INDEX(Pesos_Dimensiones!$B$2:$B$22,MATCH(B13,Pesos_Dimensiones!$A$2:$A$22,0))</f>
        <v/>
      </c>
      <c r="D13" t="inlineStr">
        <is>
          <t>Intención futura — indicador 1 (Frecuencia declarada de afirmaciones falsas para evitar consecuencias …)</t>
        </is>
      </c>
      <c r="E13" t="inlineStr">
        <is>
          <t>6-Intención futura</t>
        </is>
      </c>
      <c r="F13" t="n">
        <v>0</v>
      </c>
      <c r="G13" t="n">
        <v>4</v>
      </c>
      <c r="H13" t="inlineStr">
        <is>
          <t>Inverso</t>
        </is>
      </c>
      <c r="I13" t="n">
        <v>0</v>
      </c>
      <c r="J13">
        <f>IF(H13="Inverso",G13-I13,I13)</f>
        <v/>
      </c>
      <c r="K13">
        <f>IFERROR(J13/G13,0)</f>
        <v/>
      </c>
      <c r="L13" t="inlineStr">
        <is>
          <t>R011</t>
        </is>
      </c>
      <c r="M13" t="inlineStr">
        <is>
          <t>Si</t>
        </is>
      </c>
      <c r="N13">
        <f>INDEX(Pesos_Dimensiones!$C$2:$C$22,MATCH(B13,Pesos_Dimensiones!$A$2:$A$22,0))</f>
        <v/>
      </c>
      <c r="O13">
        <f>1/COUNTIF($B$2:$B$211,B13)</f>
        <v/>
      </c>
      <c r="P13">
        <f>IF(OR(C13="Base",C13="Adicional"),N13*O13,0)</f>
        <v/>
      </c>
      <c r="Q13">
        <f>K13*P13</f>
        <v/>
      </c>
    </row>
    <row r="14">
      <c r="A14" t="inlineStr">
        <is>
          <t>R013</t>
        </is>
      </c>
      <c r="B14" t="inlineStr">
        <is>
          <t>Mentira</t>
        </is>
      </c>
      <c r="C14">
        <f>INDEX(Pesos_Dimensiones!$B$2:$B$22,MATCH(B14,Pesos_Dimensiones!$A$2:$A$22,0))</f>
        <v/>
      </c>
      <c r="D14" t="inlineStr">
        <is>
          <t>Involucramiento pasado — indicador 2 (Distorsión selectiva de hechos para presentarse en una posición favora…)</t>
        </is>
      </c>
      <c r="E14" t="inlineStr">
        <is>
          <t>3-Involucramiento pasado</t>
        </is>
      </c>
      <c r="F14" t="n">
        <v>0</v>
      </c>
      <c r="G14" t="n">
        <v>4</v>
      </c>
      <c r="H14" t="inlineStr">
        <is>
          <t>Directo</t>
        </is>
      </c>
      <c r="I14" t="n">
        <v>0</v>
      </c>
      <c r="J14">
        <f>IF(H14="Inverso",G14-I14,I14)</f>
        <v/>
      </c>
      <c r="K14">
        <f>IFERROR(J14/G14,0)</f>
        <v/>
      </c>
      <c r="L14" t="inlineStr">
        <is>
          <t>R014</t>
        </is>
      </c>
      <c r="M14" t="inlineStr">
        <is>
          <t>Si</t>
        </is>
      </c>
      <c r="N14">
        <f>INDEX(Pesos_Dimensiones!$C$2:$C$22,MATCH(B14,Pesos_Dimensiones!$A$2:$A$22,0))</f>
        <v/>
      </c>
      <c r="O14">
        <f>1/COUNTIF($B$2:$B$211,B14)</f>
        <v/>
      </c>
      <c r="P14">
        <f>IF(OR(C14="Base",C14="Adicional"),N14*O14,0)</f>
        <v/>
      </c>
      <c r="Q14">
        <f>K14*P14</f>
        <v/>
      </c>
    </row>
    <row r="15">
      <c r="A15" t="inlineStr">
        <is>
          <t>R014</t>
        </is>
      </c>
      <c r="B15" t="inlineStr">
        <is>
          <t>Mentira</t>
        </is>
      </c>
      <c r="C15">
        <f>INDEX(Pesos_Dimensiones!$B$2:$B$22,MATCH(B15,Pesos_Dimensiones!$A$2:$A$22,0))</f>
        <v/>
      </c>
      <c r="D15" t="inlineStr">
        <is>
          <t>Escenario/dilema — indicador 2 (Distorsión selectiva de hechos para presentarse en una posición favora…)</t>
        </is>
      </c>
      <c r="E15" t="inlineStr">
        <is>
          <t>4-Escenario/dilema</t>
        </is>
      </c>
      <c r="F15" t="n">
        <v>0</v>
      </c>
      <c r="G15" t="n">
        <v>3</v>
      </c>
      <c r="H15" t="inlineStr">
        <is>
          <t>Directo</t>
        </is>
      </c>
      <c r="I15" t="n">
        <v>0</v>
      </c>
      <c r="J15">
        <f>IF(H15="Inverso",G15-I15,I15)</f>
        <v/>
      </c>
      <c r="K15">
        <f>IFERROR(J15/G15,0)</f>
        <v/>
      </c>
      <c r="L15" t="inlineStr">
        <is>
          <t>R013</t>
        </is>
      </c>
      <c r="M15" t="inlineStr">
        <is>
          <t>Si</t>
        </is>
      </c>
      <c r="N15">
        <f>INDEX(Pesos_Dimensiones!$C$2:$C$22,MATCH(B15,Pesos_Dimensiones!$A$2:$A$22,0))</f>
        <v/>
      </c>
      <c r="O15">
        <f>1/COUNTIF($B$2:$B$211,B15)</f>
        <v/>
      </c>
      <c r="P15">
        <f>IF(OR(C15="Base",C15="Adicional"),N15*O15,0)</f>
        <v/>
      </c>
      <c r="Q15">
        <f>K15*P15</f>
        <v/>
      </c>
    </row>
    <row r="16">
      <c r="A16" t="inlineStr">
        <is>
          <t>R015</t>
        </is>
      </c>
      <c r="B16" t="inlineStr">
        <is>
          <t>Mentira</t>
        </is>
      </c>
      <c r="C16">
        <f>INDEX(Pesos_Dimensiones!$B$2:$B$22,MATCH(B16,Pesos_Dimensiones!$A$2:$A$22,0))</f>
        <v/>
      </c>
      <c r="D16" t="inlineStr">
        <is>
          <t>Percepción de terceros — indicador 3 (Comodidad declarada con mentir "cuando no hace daño a nadie".)</t>
        </is>
      </c>
      <c r="E16" t="inlineStr">
        <is>
          <t>2-Percepción de terceros</t>
        </is>
      </c>
      <c r="F16" t="n">
        <v>0</v>
      </c>
      <c r="G16" t="n">
        <v>3</v>
      </c>
      <c r="H16" t="inlineStr">
        <is>
          <t>Directo</t>
        </is>
      </c>
      <c r="I16" t="n">
        <v>0</v>
      </c>
      <c r="J16">
        <f>IF(H16="Inverso",G16-I16,I16)</f>
        <v/>
      </c>
      <c r="K16">
        <f>IFERROR(J16/G16,0)</f>
        <v/>
      </c>
      <c r="L16" t="inlineStr">
        <is>
          <t>R016</t>
        </is>
      </c>
      <c r="M16" t="inlineStr">
        <is>
          <t>Si</t>
        </is>
      </c>
      <c r="N16">
        <f>INDEX(Pesos_Dimensiones!$C$2:$C$22,MATCH(B16,Pesos_Dimensiones!$A$2:$A$22,0))</f>
        <v/>
      </c>
      <c r="O16">
        <f>1/COUNTIF($B$2:$B$211,B16)</f>
        <v/>
      </c>
      <c r="P16">
        <f>IF(OR(C16="Base",C16="Adicional"),N16*O16,0)</f>
        <v/>
      </c>
      <c r="Q16">
        <f>K16*P16</f>
        <v/>
      </c>
    </row>
    <row r="17">
      <c r="A17" t="inlineStr">
        <is>
          <t>R016</t>
        </is>
      </c>
      <c r="B17" t="inlineStr">
        <is>
          <t>Mentira</t>
        </is>
      </c>
      <c r="C17">
        <f>INDEX(Pesos_Dimensiones!$B$2:$B$22,MATCH(B17,Pesos_Dimensiones!$A$2:$A$22,0))</f>
        <v/>
      </c>
      <c r="D17" t="inlineStr">
        <is>
          <t>Opinión/Actitud — indicador 3 (Comodidad declarada con mentir "cuando no hace daño a nadie".)</t>
        </is>
      </c>
      <c r="E17" t="inlineStr">
        <is>
          <t>1-Opinión/Actitud</t>
        </is>
      </c>
      <c r="F17" t="n">
        <v>0</v>
      </c>
      <c r="G17" t="n">
        <v>4</v>
      </c>
      <c r="H17" t="inlineStr">
        <is>
          <t>Directo</t>
        </is>
      </c>
      <c r="I17" t="n">
        <v>0</v>
      </c>
      <c r="J17">
        <f>IF(H17="Inverso",G17-I17,I17)</f>
        <v/>
      </c>
      <c r="K17">
        <f>IFERROR(J17/G17,0)</f>
        <v/>
      </c>
      <c r="L17" t="inlineStr">
        <is>
          <t>R015</t>
        </is>
      </c>
      <c r="M17" t="inlineStr">
        <is>
          <t>Si</t>
        </is>
      </c>
      <c r="N17">
        <f>INDEX(Pesos_Dimensiones!$C$2:$C$22,MATCH(B17,Pesos_Dimensiones!$A$2:$A$22,0))</f>
        <v/>
      </c>
      <c r="O17">
        <f>1/COUNTIF($B$2:$B$211,B17)</f>
        <v/>
      </c>
      <c r="P17">
        <f>IF(OR(C17="Base",C17="Adicional"),N17*O17,0)</f>
        <v/>
      </c>
      <c r="Q17">
        <f>K17*P17</f>
        <v/>
      </c>
    </row>
    <row r="18">
      <c r="A18" t="inlineStr">
        <is>
          <t>R017</t>
        </is>
      </c>
      <c r="B18" t="inlineStr">
        <is>
          <t>Mentira</t>
        </is>
      </c>
      <c r="C18">
        <f>INDEX(Pesos_Dimensiones!$B$2:$B$22,MATCH(B18,Pesos_Dimensiones!$A$2:$A$22,0))</f>
        <v/>
      </c>
      <c r="D18" t="inlineStr">
        <is>
          <t>Involucramiento pasado — indicador 4 (Inconsistencia entre lo declarado en distintos momentos o ante distint…)</t>
        </is>
      </c>
      <c r="E18" t="inlineStr">
        <is>
          <t>3-Involucramiento pasado</t>
        </is>
      </c>
      <c r="F18" t="n">
        <v>0</v>
      </c>
      <c r="G18" t="n">
        <v>4</v>
      </c>
      <c r="H18" t="inlineStr">
        <is>
          <t>Directo</t>
        </is>
      </c>
      <c r="I18" t="n">
        <v>0</v>
      </c>
      <c r="J18">
        <f>IF(H18="Inverso",G18-I18,I18)</f>
        <v/>
      </c>
      <c r="K18">
        <f>IFERROR(J18/G18,0)</f>
        <v/>
      </c>
      <c r="L18" t="inlineStr">
        <is>
          <t>R018</t>
        </is>
      </c>
      <c r="M18" t="inlineStr">
        <is>
          <t>Si</t>
        </is>
      </c>
      <c r="N18">
        <f>INDEX(Pesos_Dimensiones!$C$2:$C$22,MATCH(B18,Pesos_Dimensiones!$A$2:$A$22,0))</f>
        <v/>
      </c>
      <c r="O18">
        <f>1/COUNTIF($B$2:$B$211,B18)</f>
        <v/>
      </c>
      <c r="P18">
        <f>IF(OR(C18="Base",C18="Adicional"),N18*O18,0)</f>
        <v/>
      </c>
      <c r="Q18">
        <f>K18*P18</f>
        <v/>
      </c>
    </row>
    <row r="19">
      <c r="A19" t="inlineStr">
        <is>
          <t>R018</t>
        </is>
      </c>
      <c r="B19" t="inlineStr">
        <is>
          <t>Mentira</t>
        </is>
      </c>
      <c r="C19">
        <f>INDEX(Pesos_Dimensiones!$B$2:$B$22,MATCH(B19,Pesos_Dimensiones!$A$2:$A$22,0))</f>
        <v/>
      </c>
      <c r="D19" t="inlineStr">
        <is>
          <t>Intención futura — indicador 4 (Inconsistencia entre lo declarado en distintos momentos o ante distint…)</t>
        </is>
      </c>
      <c r="E19" t="inlineStr">
        <is>
          <t>6-Intención futura</t>
        </is>
      </c>
      <c r="F19" t="n">
        <v>0</v>
      </c>
      <c r="G19" t="n">
        <v>4</v>
      </c>
      <c r="H19" t="inlineStr">
        <is>
          <t>Inverso</t>
        </is>
      </c>
      <c r="I19" t="n">
        <v>0</v>
      </c>
      <c r="J19">
        <f>IF(H19="Inverso",G19-I19,I19)</f>
        <v/>
      </c>
      <c r="K19">
        <f>IFERROR(J19/G19,0)</f>
        <v/>
      </c>
      <c r="L19" t="inlineStr">
        <is>
          <t>R017</t>
        </is>
      </c>
      <c r="M19" t="inlineStr">
        <is>
          <t>Si</t>
        </is>
      </c>
      <c r="N19">
        <f>INDEX(Pesos_Dimensiones!$C$2:$C$22,MATCH(B19,Pesos_Dimensiones!$A$2:$A$22,0))</f>
        <v/>
      </c>
      <c r="O19">
        <f>1/COUNTIF($B$2:$B$211,B19)</f>
        <v/>
      </c>
      <c r="P19">
        <f>IF(OR(C19="Base",C19="Adicional"),N19*O19,0)</f>
        <v/>
      </c>
      <c r="Q19">
        <f>K19*P19</f>
        <v/>
      </c>
    </row>
    <row r="20">
      <c r="A20" t="inlineStr">
        <is>
          <t>R019</t>
        </is>
      </c>
      <c r="B20" t="inlineStr">
        <is>
          <t>Mentira</t>
        </is>
      </c>
      <c r="C20">
        <f>INDEX(Pesos_Dimensiones!$B$2:$B$22,MATCH(B20,Pesos_Dimensiones!$A$2:$A$22,0))</f>
        <v/>
      </c>
      <c r="D20" t="inlineStr">
        <is>
          <t>Escenario/dilema — indicador 1 (Frecuencia declarada de afirmaciones falsas para evitar consecuencias …)</t>
        </is>
      </c>
      <c r="E20" t="inlineStr">
        <is>
          <t>4-Escenario/dilema</t>
        </is>
      </c>
      <c r="F20" t="n">
        <v>0</v>
      </c>
      <c r="G20" t="n">
        <v>3</v>
      </c>
      <c r="H20" t="inlineStr">
        <is>
          <t>Directo</t>
        </is>
      </c>
      <c r="I20" t="n">
        <v>0</v>
      </c>
      <c r="J20">
        <f>IF(H20="Inverso",G20-I20,I20)</f>
        <v/>
      </c>
      <c r="K20">
        <f>IFERROR(J20/G20,0)</f>
        <v/>
      </c>
      <c r="L20" t="inlineStr">
        <is>
          <t>R020</t>
        </is>
      </c>
      <c r="M20" t="inlineStr">
        <is>
          <t>Si</t>
        </is>
      </c>
      <c r="N20">
        <f>INDEX(Pesos_Dimensiones!$C$2:$C$22,MATCH(B20,Pesos_Dimensiones!$A$2:$A$22,0))</f>
        <v/>
      </c>
      <c r="O20">
        <f>1/COUNTIF($B$2:$B$211,B20)</f>
        <v/>
      </c>
      <c r="P20">
        <f>IF(OR(C20="Base",C20="Adicional"),N20*O20,0)</f>
        <v/>
      </c>
      <c r="Q20">
        <f>K20*P20</f>
        <v/>
      </c>
    </row>
    <row r="21">
      <c r="A21" t="inlineStr">
        <is>
          <t>R020</t>
        </is>
      </c>
      <c r="B21" t="inlineStr">
        <is>
          <t>Mentira</t>
        </is>
      </c>
      <c r="C21">
        <f>INDEX(Pesos_Dimensiones!$B$2:$B$22,MATCH(B21,Pesos_Dimensiones!$A$2:$A$22,0))</f>
        <v/>
      </c>
      <c r="D21" t="inlineStr">
        <is>
          <t>Percepción de terceros — indicador 1 (Frecuencia declarada de afirmaciones falsas para evitar consecuencias …)</t>
        </is>
      </c>
      <c r="E21" t="inlineStr">
        <is>
          <t>2-Percepción de terceros</t>
        </is>
      </c>
      <c r="F21" t="n">
        <v>0</v>
      </c>
      <c r="G21" t="n">
        <v>3</v>
      </c>
      <c r="H21" t="inlineStr">
        <is>
          <t>Directo</t>
        </is>
      </c>
      <c r="I21" t="n">
        <v>0</v>
      </c>
      <c r="J21">
        <f>IF(H21="Inverso",G21-I21,I21)</f>
        <v/>
      </c>
      <c r="K21">
        <f>IFERROR(J21/G21,0)</f>
        <v/>
      </c>
      <c r="L21" t="inlineStr">
        <is>
          <t>R019</t>
        </is>
      </c>
      <c r="M21" t="inlineStr">
        <is>
          <t>Si</t>
        </is>
      </c>
      <c r="N21">
        <f>INDEX(Pesos_Dimensiones!$C$2:$C$22,MATCH(B21,Pesos_Dimensiones!$A$2:$A$22,0))</f>
        <v/>
      </c>
      <c r="O21">
        <f>1/COUNTIF($B$2:$B$211,B21)</f>
        <v/>
      </c>
      <c r="P21">
        <f>IF(OR(C21="Base",C21="Adicional"),N21*O21,0)</f>
        <v/>
      </c>
      <c r="Q21">
        <f>K21*P21</f>
        <v/>
      </c>
    </row>
    <row r="22">
      <c r="A22" t="inlineStr">
        <is>
          <t>R021</t>
        </is>
      </c>
      <c r="B22" t="inlineStr">
        <is>
          <t>Fraude</t>
        </is>
      </c>
      <c r="C22">
        <f>INDEX(Pesos_Dimensiones!$B$2:$B$22,MATCH(B22,Pesos_Dimensiones!$A$2:$A$22,0))</f>
        <v/>
      </c>
      <c r="D22" t="inlineStr">
        <is>
          <t>Opinión/Actitud — indicador 1 (Disposición a modificar registros o documentos para obtener un benefic…)</t>
        </is>
      </c>
      <c r="E22" t="inlineStr">
        <is>
          <t>1-Opinión/Actitud</t>
        </is>
      </c>
      <c r="F22" t="n">
        <v>0</v>
      </c>
      <c r="G22" t="n">
        <v>4</v>
      </c>
      <c r="H22" t="inlineStr">
        <is>
          <t>Directo</t>
        </is>
      </c>
      <c r="I22" t="n">
        <v>0</v>
      </c>
      <c r="J22">
        <f>IF(H22="Inverso",G22-I22,I22)</f>
        <v/>
      </c>
      <c r="K22">
        <f>IFERROR(J22/G22,0)</f>
        <v/>
      </c>
      <c r="L22" t="inlineStr">
        <is>
          <t>R022</t>
        </is>
      </c>
      <c r="M22" t="inlineStr">
        <is>
          <t>Si</t>
        </is>
      </c>
      <c r="N22">
        <f>INDEX(Pesos_Dimensiones!$C$2:$C$22,MATCH(B22,Pesos_Dimensiones!$A$2:$A$22,0))</f>
        <v/>
      </c>
      <c r="O22">
        <f>1/COUNTIF($B$2:$B$211,B22)</f>
        <v/>
      </c>
      <c r="P22">
        <f>IF(OR(C22="Base",C22="Adicional"),N22*O22,0)</f>
        <v/>
      </c>
      <c r="Q22">
        <f>K22*P22</f>
        <v/>
      </c>
    </row>
    <row r="23">
      <c r="A23" t="inlineStr">
        <is>
          <t>R022</t>
        </is>
      </c>
      <c r="B23" t="inlineStr">
        <is>
          <t>Fraude</t>
        </is>
      </c>
      <c r="C23">
        <f>INDEX(Pesos_Dimensiones!$B$2:$B$22,MATCH(B23,Pesos_Dimensiones!$A$2:$A$22,0))</f>
        <v/>
      </c>
      <c r="D23" t="inlineStr">
        <is>
          <t>Intención futura — indicador 1 (Disposición a modificar registros o documentos para obtener un benefic…)</t>
        </is>
      </c>
      <c r="E23" t="inlineStr">
        <is>
          <t>6-Intención futura</t>
        </is>
      </c>
      <c r="F23" t="n">
        <v>0</v>
      </c>
      <c r="G23" t="n">
        <v>4</v>
      </c>
      <c r="H23" t="inlineStr">
        <is>
          <t>Inverso</t>
        </is>
      </c>
      <c r="I23" t="n">
        <v>0</v>
      </c>
      <c r="J23">
        <f>IF(H23="Inverso",G23-I23,I23)</f>
        <v/>
      </c>
      <c r="K23">
        <f>IFERROR(J23/G23,0)</f>
        <v/>
      </c>
      <c r="L23" t="inlineStr">
        <is>
          <t>R021</t>
        </is>
      </c>
      <c r="M23" t="inlineStr">
        <is>
          <t>Si</t>
        </is>
      </c>
      <c r="N23">
        <f>INDEX(Pesos_Dimensiones!$C$2:$C$22,MATCH(B23,Pesos_Dimensiones!$A$2:$A$22,0))</f>
        <v/>
      </c>
      <c r="O23">
        <f>1/COUNTIF($B$2:$B$211,B23)</f>
        <v/>
      </c>
      <c r="P23">
        <f>IF(OR(C23="Base",C23="Adicional"),N23*O23,0)</f>
        <v/>
      </c>
      <c r="Q23">
        <f>K23*P23</f>
        <v/>
      </c>
    </row>
    <row r="24">
      <c r="A24" t="inlineStr">
        <is>
          <t>R023</t>
        </is>
      </c>
      <c r="B24" t="inlineStr">
        <is>
          <t>Fraude</t>
        </is>
      </c>
      <c r="C24">
        <f>INDEX(Pesos_Dimensiones!$B$2:$B$22,MATCH(B24,Pesos_Dimensiones!$A$2:$A$22,0))</f>
        <v/>
      </c>
      <c r="D24" t="inlineStr">
        <is>
          <t>Involucramiento pasado — indicador 2 (Justificación de la alteración de datos cuando se percibe que "nadie s…)</t>
        </is>
      </c>
      <c r="E24" t="inlineStr">
        <is>
          <t>3-Involucramiento pasado</t>
        </is>
      </c>
      <c r="F24" t="n">
        <v>0</v>
      </c>
      <c r="G24" t="n">
        <v>4</v>
      </c>
      <c r="H24" t="inlineStr">
        <is>
          <t>Directo</t>
        </is>
      </c>
      <c r="I24" t="n">
        <v>0</v>
      </c>
      <c r="J24">
        <f>IF(H24="Inverso",G24-I24,I24)</f>
        <v/>
      </c>
      <c r="K24">
        <f>IFERROR(J24/G24,0)</f>
        <v/>
      </c>
      <c r="L24" t="inlineStr">
        <is>
          <t>R024</t>
        </is>
      </c>
      <c r="M24" t="inlineStr">
        <is>
          <t>Si</t>
        </is>
      </c>
      <c r="N24">
        <f>INDEX(Pesos_Dimensiones!$C$2:$C$22,MATCH(B24,Pesos_Dimensiones!$A$2:$A$22,0))</f>
        <v/>
      </c>
      <c r="O24">
        <f>1/COUNTIF($B$2:$B$211,B24)</f>
        <v/>
      </c>
      <c r="P24">
        <f>IF(OR(C24="Base",C24="Adicional"),N24*O24,0)</f>
        <v/>
      </c>
      <c r="Q24">
        <f>K24*P24</f>
        <v/>
      </c>
    </row>
    <row r="25">
      <c r="A25" t="inlineStr">
        <is>
          <t>R024</t>
        </is>
      </c>
      <c r="B25" t="inlineStr">
        <is>
          <t>Fraude</t>
        </is>
      </c>
      <c r="C25">
        <f>INDEX(Pesos_Dimensiones!$B$2:$B$22,MATCH(B25,Pesos_Dimensiones!$A$2:$A$22,0))</f>
        <v/>
      </c>
      <c r="D25" t="inlineStr">
        <is>
          <t>Escenario/dilema — indicador 2 (Justificación de la alteración de datos cuando se percibe que "nadie s…)</t>
        </is>
      </c>
      <c r="E25" t="inlineStr">
        <is>
          <t>4-Escenario/dilema</t>
        </is>
      </c>
      <c r="F25" t="n">
        <v>0</v>
      </c>
      <c r="G25" t="n">
        <v>3</v>
      </c>
      <c r="H25" t="inlineStr">
        <is>
          <t>Directo</t>
        </is>
      </c>
      <c r="I25" t="n">
        <v>0</v>
      </c>
      <c r="J25">
        <f>IF(H25="Inverso",G25-I25,I25)</f>
        <v/>
      </c>
      <c r="K25">
        <f>IFERROR(J25/G25,0)</f>
        <v/>
      </c>
      <c r="L25" t="inlineStr">
        <is>
          <t>R023</t>
        </is>
      </c>
      <c r="M25" t="inlineStr">
        <is>
          <t>Si</t>
        </is>
      </c>
      <c r="N25">
        <f>INDEX(Pesos_Dimensiones!$C$2:$C$22,MATCH(B25,Pesos_Dimensiones!$A$2:$A$22,0))</f>
        <v/>
      </c>
      <c r="O25">
        <f>1/COUNTIF($B$2:$B$211,B25)</f>
        <v/>
      </c>
      <c r="P25">
        <f>IF(OR(C25="Base",C25="Adicional"),N25*O25,0)</f>
        <v/>
      </c>
      <c r="Q25">
        <f>K25*P25</f>
        <v/>
      </c>
    </row>
    <row r="26">
      <c r="A26" t="inlineStr">
        <is>
          <t>R025</t>
        </is>
      </c>
      <c r="B26" t="inlineStr">
        <is>
          <t>Fraude</t>
        </is>
      </c>
      <c r="C26">
        <f>INDEX(Pesos_Dimensiones!$B$2:$B$22,MATCH(B26,Pesos_Dimensiones!$A$2:$A$22,0))</f>
        <v/>
      </c>
      <c r="D26" t="inlineStr">
        <is>
          <t>Percepción de terceros — indicador 3 (Uso de información falsa en procesos formales (reportes, solicitudes, …)</t>
        </is>
      </c>
      <c r="E26" t="inlineStr">
        <is>
          <t>2-Percepción de terceros</t>
        </is>
      </c>
      <c r="F26" t="n">
        <v>0</v>
      </c>
      <c r="G26" t="n">
        <v>3</v>
      </c>
      <c r="H26" t="inlineStr">
        <is>
          <t>Directo</t>
        </is>
      </c>
      <c r="I26" t="n">
        <v>0</v>
      </c>
      <c r="J26">
        <f>IF(H26="Inverso",G26-I26,I26)</f>
        <v/>
      </c>
      <c r="K26">
        <f>IFERROR(J26/G26,0)</f>
        <v/>
      </c>
      <c r="L26" t="inlineStr">
        <is>
          <t>R026</t>
        </is>
      </c>
      <c r="M26" t="inlineStr">
        <is>
          <t>Si</t>
        </is>
      </c>
      <c r="N26">
        <f>INDEX(Pesos_Dimensiones!$C$2:$C$22,MATCH(B26,Pesos_Dimensiones!$A$2:$A$22,0))</f>
        <v/>
      </c>
      <c r="O26">
        <f>1/COUNTIF($B$2:$B$211,B26)</f>
        <v/>
      </c>
      <c r="P26">
        <f>IF(OR(C26="Base",C26="Adicional"),N26*O26,0)</f>
        <v/>
      </c>
      <c r="Q26">
        <f>K26*P26</f>
        <v/>
      </c>
    </row>
    <row r="27">
      <c r="A27" t="inlineStr">
        <is>
          <t>R026</t>
        </is>
      </c>
      <c r="B27" t="inlineStr">
        <is>
          <t>Fraude</t>
        </is>
      </c>
      <c r="C27">
        <f>INDEX(Pesos_Dimensiones!$B$2:$B$22,MATCH(B27,Pesos_Dimensiones!$A$2:$A$22,0))</f>
        <v/>
      </c>
      <c r="D27" t="inlineStr">
        <is>
          <t>Opinión/Actitud — indicador 3 (Uso de información falsa en procesos formales (reportes, solicitudes, …)</t>
        </is>
      </c>
      <c r="E27" t="inlineStr">
        <is>
          <t>1-Opinión/Actitud</t>
        </is>
      </c>
      <c r="F27" t="n">
        <v>0</v>
      </c>
      <c r="G27" t="n">
        <v>4</v>
      </c>
      <c r="H27" t="inlineStr">
        <is>
          <t>Directo</t>
        </is>
      </c>
      <c r="I27" t="n">
        <v>0</v>
      </c>
      <c r="J27">
        <f>IF(H27="Inverso",G27-I27,I27)</f>
        <v/>
      </c>
      <c r="K27">
        <f>IFERROR(J27/G27,0)</f>
        <v/>
      </c>
      <c r="L27" t="inlineStr">
        <is>
          <t>R025</t>
        </is>
      </c>
      <c r="M27" t="inlineStr">
        <is>
          <t>Si</t>
        </is>
      </c>
      <c r="N27">
        <f>INDEX(Pesos_Dimensiones!$C$2:$C$22,MATCH(B27,Pesos_Dimensiones!$A$2:$A$22,0))</f>
        <v/>
      </c>
      <c r="O27">
        <f>1/COUNTIF($B$2:$B$211,B27)</f>
        <v/>
      </c>
      <c r="P27">
        <f>IF(OR(C27="Base",C27="Adicional"),N27*O27,0)</f>
        <v/>
      </c>
      <c r="Q27">
        <f>K27*P27</f>
        <v/>
      </c>
    </row>
    <row r="28">
      <c r="A28" t="inlineStr">
        <is>
          <t>R027</t>
        </is>
      </c>
      <c r="B28" t="inlineStr">
        <is>
          <t>Fraude</t>
        </is>
      </c>
      <c r="C28">
        <f>INDEX(Pesos_Dimensiones!$B$2:$B$22,MATCH(B28,Pesos_Dimensiones!$A$2:$A$22,0))</f>
        <v/>
      </c>
      <c r="D28" t="inlineStr">
        <is>
          <t>Involucramiento pasado — indicador 4 (Tolerancia hacia el fraude cometido por otros cuando beneficia al grup…)</t>
        </is>
      </c>
      <c r="E28" t="inlineStr">
        <is>
          <t>3-Involucramiento pasado</t>
        </is>
      </c>
      <c r="F28" t="n">
        <v>0</v>
      </c>
      <c r="G28" t="n">
        <v>4</v>
      </c>
      <c r="H28" t="inlineStr">
        <is>
          <t>Directo</t>
        </is>
      </c>
      <c r="I28" t="n">
        <v>0</v>
      </c>
      <c r="J28">
        <f>IF(H28="Inverso",G28-I28,I28)</f>
        <v/>
      </c>
      <c r="K28">
        <f>IFERROR(J28/G28,0)</f>
        <v/>
      </c>
      <c r="L28" t="inlineStr">
        <is>
          <t>R028</t>
        </is>
      </c>
      <c r="M28" t="inlineStr">
        <is>
          <t>Si</t>
        </is>
      </c>
      <c r="N28">
        <f>INDEX(Pesos_Dimensiones!$C$2:$C$22,MATCH(B28,Pesos_Dimensiones!$A$2:$A$22,0))</f>
        <v/>
      </c>
      <c r="O28">
        <f>1/COUNTIF($B$2:$B$211,B28)</f>
        <v/>
      </c>
      <c r="P28">
        <f>IF(OR(C28="Base",C28="Adicional"),N28*O28,0)</f>
        <v/>
      </c>
      <c r="Q28">
        <f>K28*P28</f>
        <v/>
      </c>
    </row>
    <row r="29">
      <c r="A29" t="inlineStr">
        <is>
          <t>R028</t>
        </is>
      </c>
      <c r="B29" t="inlineStr">
        <is>
          <t>Fraude</t>
        </is>
      </c>
      <c r="C29">
        <f>INDEX(Pesos_Dimensiones!$B$2:$B$22,MATCH(B29,Pesos_Dimensiones!$A$2:$A$22,0))</f>
        <v/>
      </c>
      <c r="D29" t="inlineStr">
        <is>
          <t>Intención futura — indicador 4 (Tolerancia hacia el fraude cometido por otros cuando beneficia al grup…)</t>
        </is>
      </c>
      <c r="E29" t="inlineStr">
        <is>
          <t>6-Intención futura</t>
        </is>
      </c>
      <c r="F29" t="n">
        <v>0</v>
      </c>
      <c r="G29" t="n">
        <v>4</v>
      </c>
      <c r="H29" t="inlineStr">
        <is>
          <t>Inverso</t>
        </is>
      </c>
      <c r="I29" t="n">
        <v>0</v>
      </c>
      <c r="J29">
        <f>IF(H29="Inverso",G29-I29,I29)</f>
        <v/>
      </c>
      <c r="K29">
        <f>IFERROR(J29/G29,0)</f>
        <v/>
      </c>
      <c r="L29" t="inlineStr">
        <is>
          <t>R027</t>
        </is>
      </c>
      <c r="M29" t="inlineStr">
        <is>
          <t>Si</t>
        </is>
      </c>
      <c r="N29">
        <f>INDEX(Pesos_Dimensiones!$C$2:$C$22,MATCH(B29,Pesos_Dimensiones!$A$2:$A$22,0))</f>
        <v/>
      </c>
      <c r="O29">
        <f>1/COUNTIF($B$2:$B$211,B29)</f>
        <v/>
      </c>
      <c r="P29">
        <f>IF(OR(C29="Base",C29="Adicional"),N29*O29,0)</f>
        <v/>
      </c>
      <c r="Q29">
        <f>K29*P29</f>
        <v/>
      </c>
    </row>
    <row r="30">
      <c r="A30" t="inlineStr">
        <is>
          <t>R029</t>
        </is>
      </c>
      <c r="B30" t="inlineStr">
        <is>
          <t>Fraude</t>
        </is>
      </c>
      <c r="C30">
        <f>INDEX(Pesos_Dimensiones!$B$2:$B$22,MATCH(B30,Pesos_Dimensiones!$A$2:$A$22,0))</f>
        <v/>
      </c>
      <c r="D30" t="inlineStr">
        <is>
          <t>Escenario/dilema — indicador 1 (Disposición a modificar registros o documentos para obtener un benefic…)</t>
        </is>
      </c>
      <c r="E30" t="inlineStr">
        <is>
          <t>4-Escenario/dilema</t>
        </is>
      </c>
      <c r="F30" t="n">
        <v>0</v>
      </c>
      <c r="G30" t="n">
        <v>3</v>
      </c>
      <c r="H30" t="inlineStr">
        <is>
          <t>Directo</t>
        </is>
      </c>
      <c r="I30" t="n">
        <v>0</v>
      </c>
      <c r="J30">
        <f>IF(H30="Inverso",G30-I30,I30)</f>
        <v/>
      </c>
      <c r="K30">
        <f>IFERROR(J30/G30,0)</f>
        <v/>
      </c>
      <c r="L30" t="inlineStr">
        <is>
          <t>R030</t>
        </is>
      </c>
      <c r="M30" t="inlineStr">
        <is>
          <t>Si</t>
        </is>
      </c>
      <c r="N30">
        <f>INDEX(Pesos_Dimensiones!$C$2:$C$22,MATCH(B30,Pesos_Dimensiones!$A$2:$A$22,0))</f>
        <v/>
      </c>
      <c r="O30">
        <f>1/COUNTIF($B$2:$B$211,B30)</f>
        <v/>
      </c>
      <c r="P30">
        <f>IF(OR(C30="Base",C30="Adicional"),N30*O30,0)</f>
        <v/>
      </c>
      <c r="Q30">
        <f>K30*P30</f>
        <v/>
      </c>
    </row>
    <row r="31">
      <c r="A31" t="inlineStr">
        <is>
          <t>R030</t>
        </is>
      </c>
      <c r="B31" t="inlineStr">
        <is>
          <t>Fraude</t>
        </is>
      </c>
      <c r="C31">
        <f>INDEX(Pesos_Dimensiones!$B$2:$B$22,MATCH(B31,Pesos_Dimensiones!$A$2:$A$22,0))</f>
        <v/>
      </c>
      <c r="D31" t="inlineStr">
        <is>
          <t>Percepción de terceros — indicador 1 (Disposición a modificar registros o documentos para obtener un benefic…)</t>
        </is>
      </c>
      <c r="E31" t="inlineStr">
        <is>
          <t>2-Percepción de terceros</t>
        </is>
      </c>
      <c r="F31" t="n">
        <v>0</v>
      </c>
      <c r="G31" t="n">
        <v>3</v>
      </c>
      <c r="H31" t="inlineStr">
        <is>
          <t>Directo</t>
        </is>
      </c>
      <c r="I31" t="n">
        <v>0</v>
      </c>
      <c r="J31">
        <f>IF(H31="Inverso",G31-I31,I31)</f>
        <v/>
      </c>
      <c r="K31">
        <f>IFERROR(J31/G31,0)</f>
        <v/>
      </c>
      <c r="L31" t="inlineStr">
        <is>
          <t>R029</t>
        </is>
      </c>
      <c r="M31" t="inlineStr">
        <is>
          <t>Si</t>
        </is>
      </c>
      <c r="N31">
        <f>INDEX(Pesos_Dimensiones!$C$2:$C$22,MATCH(B31,Pesos_Dimensiones!$A$2:$A$22,0))</f>
        <v/>
      </c>
      <c r="O31">
        <f>1/COUNTIF($B$2:$B$211,B31)</f>
        <v/>
      </c>
      <c r="P31">
        <f>IF(OR(C31="Base",C31="Adicional"),N31*O31,0)</f>
        <v/>
      </c>
      <c r="Q31">
        <f>K31*P31</f>
        <v/>
      </c>
    </row>
    <row r="32">
      <c r="A32" t="inlineStr">
        <is>
          <t>R031</t>
        </is>
      </c>
      <c r="B32" t="inlineStr">
        <is>
          <t>Irresponsabilidad</t>
        </is>
      </c>
      <c r="C32">
        <f>INDEX(Pesos_Dimensiones!$B$2:$B$22,MATCH(B32,Pesos_Dimensiones!$A$2:$A$22,0))</f>
        <v/>
      </c>
      <c r="D32" t="inlineStr">
        <is>
          <t>Opinión/Actitud — indicador 1 (Atribución de errores propios a factores externos o a otras personas.)</t>
        </is>
      </c>
      <c r="E32" t="inlineStr">
        <is>
          <t>1-Opinión/Actitud</t>
        </is>
      </c>
      <c r="F32" t="n">
        <v>0</v>
      </c>
      <c r="G32" t="n">
        <v>4</v>
      </c>
      <c r="H32" t="inlineStr">
        <is>
          <t>Directo</t>
        </is>
      </c>
      <c r="I32" t="n">
        <v>0</v>
      </c>
      <c r="J32">
        <f>IF(H32="Inverso",G32-I32,I32)</f>
        <v/>
      </c>
      <c r="K32">
        <f>IFERROR(J32/G32,0)</f>
        <v/>
      </c>
      <c r="L32" t="inlineStr">
        <is>
          <t>R032</t>
        </is>
      </c>
      <c r="M32" t="inlineStr">
        <is>
          <t>Si</t>
        </is>
      </c>
      <c r="N32">
        <f>INDEX(Pesos_Dimensiones!$C$2:$C$22,MATCH(B32,Pesos_Dimensiones!$A$2:$A$22,0))</f>
        <v/>
      </c>
      <c r="O32">
        <f>1/COUNTIF($B$2:$B$211,B32)</f>
        <v/>
      </c>
      <c r="P32">
        <f>IF(OR(C32="Base",C32="Adicional"),N32*O32,0)</f>
        <v/>
      </c>
      <c r="Q32">
        <f>K32*P32</f>
        <v/>
      </c>
    </row>
    <row r="33">
      <c r="A33" t="inlineStr">
        <is>
          <t>R032</t>
        </is>
      </c>
      <c r="B33" t="inlineStr">
        <is>
          <t>Irresponsabilidad</t>
        </is>
      </c>
      <c r="C33">
        <f>INDEX(Pesos_Dimensiones!$B$2:$B$22,MATCH(B33,Pesos_Dimensiones!$A$2:$A$22,0))</f>
        <v/>
      </c>
      <c r="D33" t="inlineStr">
        <is>
          <t>Intención futura — indicador 1 (Atribución de errores propios a factores externos o a otras personas.)</t>
        </is>
      </c>
      <c r="E33" t="inlineStr">
        <is>
          <t>6-Intención futura</t>
        </is>
      </c>
      <c r="F33" t="n">
        <v>0</v>
      </c>
      <c r="G33" t="n">
        <v>4</v>
      </c>
      <c r="H33" t="inlineStr">
        <is>
          <t>Inverso</t>
        </is>
      </c>
      <c r="I33" t="n">
        <v>0</v>
      </c>
      <c r="J33">
        <f>IF(H33="Inverso",G33-I33,I33)</f>
        <v/>
      </c>
      <c r="K33">
        <f>IFERROR(J33/G33,0)</f>
        <v/>
      </c>
      <c r="L33" t="inlineStr">
        <is>
          <t>R031</t>
        </is>
      </c>
      <c r="M33" t="inlineStr">
        <is>
          <t>Si</t>
        </is>
      </c>
      <c r="N33">
        <f>INDEX(Pesos_Dimensiones!$C$2:$C$22,MATCH(B33,Pesos_Dimensiones!$A$2:$A$22,0))</f>
        <v/>
      </c>
      <c r="O33">
        <f>1/COUNTIF($B$2:$B$211,B33)</f>
        <v/>
      </c>
      <c r="P33">
        <f>IF(OR(C33="Base",C33="Adicional"),N33*O33,0)</f>
        <v/>
      </c>
      <c r="Q33">
        <f>K33*P33</f>
        <v/>
      </c>
    </row>
    <row r="34">
      <c r="A34" t="inlineStr">
        <is>
          <t>R033</t>
        </is>
      </c>
      <c r="B34" t="inlineStr">
        <is>
          <t>Irresponsabilidad</t>
        </is>
      </c>
      <c r="C34">
        <f>INDEX(Pesos_Dimensiones!$B$2:$B$22,MATCH(B34,Pesos_Dimensiones!$A$2:$A$22,0))</f>
        <v/>
      </c>
      <c r="D34" t="inlineStr">
        <is>
          <t>Involucramiento pasado — indicador 2 (Evitación de tareas o compromisos previamente asumidos, sin justificac…)</t>
        </is>
      </c>
      <c r="E34" t="inlineStr">
        <is>
          <t>3-Involucramiento pasado</t>
        </is>
      </c>
      <c r="F34" t="n">
        <v>0</v>
      </c>
      <c r="G34" t="n">
        <v>4</v>
      </c>
      <c r="H34" t="inlineStr">
        <is>
          <t>Directo</t>
        </is>
      </c>
      <c r="I34" t="n">
        <v>0</v>
      </c>
      <c r="J34">
        <f>IF(H34="Inverso",G34-I34,I34)</f>
        <v/>
      </c>
      <c r="K34">
        <f>IFERROR(J34/G34,0)</f>
        <v/>
      </c>
      <c r="L34" t="inlineStr">
        <is>
          <t>R034</t>
        </is>
      </c>
      <c r="M34" t="inlineStr">
        <is>
          <t>Si</t>
        </is>
      </c>
      <c r="N34">
        <f>INDEX(Pesos_Dimensiones!$C$2:$C$22,MATCH(B34,Pesos_Dimensiones!$A$2:$A$22,0))</f>
        <v/>
      </c>
      <c r="O34">
        <f>1/COUNTIF($B$2:$B$211,B34)</f>
        <v/>
      </c>
      <c r="P34">
        <f>IF(OR(C34="Base",C34="Adicional"),N34*O34,0)</f>
        <v/>
      </c>
      <c r="Q34">
        <f>K34*P34</f>
        <v/>
      </c>
    </row>
    <row r="35">
      <c r="A35" t="inlineStr">
        <is>
          <t>R034</t>
        </is>
      </c>
      <c r="B35" t="inlineStr">
        <is>
          <t>Irresponsabilidad</t>
        </is>
      </c>
      <c r="C35">
        <f>INDEX(Pesos_Dimensiones!$B$2:$B$22,MATCH(B35,Pesos_Dimensiones!$A$2:$A$22,0))</f>
        <v/>
      </c>
      <c r="D35" t="inlineStr">
        <is>
          <t>Escenario/dilema — indicador 2 (Evitación de tareas o compromisos previamente asumidos, sin justificac…)</t>
        </is>
      </c>
      <c r="E35" t="inlineStr">
        <is>
          <t>4-Escenario/dilema</t>
        </is>
      </c>
      <c r="F35" t="n">
        <v>0</v>
      </c>
      <c r="G35" t="n">
        <v>3</v>
      </c>
      <c r="H35" t="inlineStr">
        <is>
          <t>Directo</t>
        </is>
      </c>
      <c r="I35" t="n">
        <v>0</v>
      </c>
      <c r="J35">
        <f>IF(H35="Inverso",G35-I35,I35)</f>
        <v/>
      </c>
      <c r="K35">
        <f>IFERROR(J35/G35,0)</f>
        <v/>
      </c>
      <c r="L35" t="inlineStr">
        <is>
          <t>R033</t>
        </is>
      </c>
      <c r="M35" t="inlineStr">
        <is>
          <t>Si</t>
        </is>
      </c>
      <c r="N35">
        <f>INDEX(Pesos_Dimensiones!$C$2:$C$22,MATCH(B35,Pesos_Dimensiones!$A$2:$A$22,0))</f>
        <v/>
      </c>
      <c r="O35">
        <f>1/COUNTIF($B$2:$B$211,B35)</f>
        <v/>
      </c>
      <c r="P35">
        <f>IF(OR(C35="Base",C35="Adicional"),N35*O35,0)</f>
        <v/>
      </c>
      <c r="Q35">
        <f>K35*P35</f>
        <v/>
      </c>
    </row>
    <row r="36">
      <c r="A36" t="inlineStr">
        <is>
          <t>R035</t>
        </is>
      </c>
      <c r="B36" t="inlineStr">
        <is>
          <t>Irresponsabilidad</t>
        </is>
      </c>
      <c r="C36">
        <f>INDEX(Pesos_Dimensiones!$B$2:$B$22,MATCH(B36,Pesos_Dimensiones!$A$2:$A$22,0))</f>
        <v/>
      </c>
      <c r="D36" t="inlineStr">
        <is>
          <t>Percepción de terceros — indicador 3 (Minimización declarada del impacto de los propios errores.)</t>
        </is>
      </c>
      <c r="E36" t="inlineStr">
        <is>
          <t>2-Percepción de terceros</t>
        </is>
      </c>
      <c r="F36" t="n">
        <v>0</v>
      </c>
      <c r="G36" t="n">
        <v>3</v>
      </c>
      <c r="H36" t="inlineStr">
        <is>
          <t>Directo</t>
        </is>
      </c>
      <c r="I36" t="n">
        <v>0</v>
      </c>
      <c r="J36">
        <f>IF(H36="Inverso",G36-I36,I36)</f>
        <v/>
      </c>
      <c r="K36">
        <f>IFERROR(J36/G36,0)</f>
        <v/>
      </c>
      <c r="L36" t="inlineStr">
        <is>
          <t>R036</t>
        </is>
      </c>
      <c r="M36" t="inlineStr">
        <is>
          <t>Si</t>
        </is>
      </c>
      <c r="N36">
        <f>INDEX(Pesos_Dimensiones!$C$2:$C$22,MATCH(B36,Pesos_Dimensiones!$A$2:$A$22,0))</f>
        <v/>
      </c>
      <c r="O36">
        <f>1/COUNTIF($B$2:$B$211,B36)</f>
        <v/>
      </c>
      <c r="P36">
        <f>IF(OR(C36="Base",C36="Adicional"),N36*O36,0)</f>
        <v/>
      </c>
      <c r="Q36">
        <f>K36*P36</f>
        <v/>
      </c>
    </row>
    <row r="37">
      <c r="A37" t="inlineStr">
        <is>
          <t>R036</t>
        </is>
      </c>
      <c r="B37" t="inlineStr">
        <is>
          <t>Irresponsabilidad</t>
        </is>
      </c>
      <c r="C37">
        <f>INDEX(Pesos_Dimensiones!$B$2:$B$22,MATCH(B37,Pesos_Dimensiones!$A$2:$A$22,0))</f>
        <v/>
      </c>
      <c r="D37" t="inlineStr">
        <is>
          <t>Opinión/Actitud — indicador 3 (Minimización declarada del impacto de los propios errores.)</t>
        </is>
      </c>
      <c r="E37" t="inlineStr">
        <is>
          <t>1-Opinión/Actitud</t>
        </is>
      </c>
      <c r="F37" t="n">
        <v>0</v>
      </c>
      <c r="G37" t="n">
        <v>4</v>
      </c>
      <c r="H37" t="inlineStr">
        <is>
          <t>Directo</t>
        </is>
      </c>
      <c r="I37" t="n">
        <v>0</v>
      </c>
      <c r="J37">
        <f>IF(H37="Inverso",G37-I37,I37)</f>
        <v/>
      </c>
      <c r="K37">
        <f>IFERROR(J37/G37,0)</f>
        <v/>
      </c>
      <c r="L37" t="inlineStr">
        <is>
          <t>R035</t>
        </is>
      </c>
      <c r="M37" t="inlineStr">
        <is>
          <t>Si</t>
        </is>
      </c>
      <c r="N37">
        <f>INDEX(Pesos_Dimensiones!$C$2:$C$22,MATCH(B37,Pesos_Dimensiones!$A$2:$A$22,0))</f>
        <v/>
      </c>
      <c r="O37">
        <f>1/COUNTIF($B$2:$B$211,B37)</f>
        <v/>
      </c>
      <c r="P37">
        <f>IF(OR(C37="Base",C37="Adicional"),N37*O37,0)</f>
        <v/>
      </c>
      <c r="Q37">
        <f>K37*P37</f>
        <v/>
      </c>
    </row>
    <row r="38">
      <c r="A38" t="inlineStr">
        <is>
          <t>R037</t>
        </is>
      </c>
      <c r="B38" t="inlineStr">
        <is>
          <t>Irresponsabilidad</t>
        </is>
      </c>
      <c r="C38">
        <f>INDEX(Pesos_Dimensiones!$B$2:$B$22,MATCH(B38,Pesos_Dimensiones!$A$2:$A$22,0))</f>
        <v/>
      </c>
      <c r="D38" t="inlineStr">
        <is>
          <t>Involucramiento pasado — indicador 4 (Ausencia de seguimiento a compromisos pendientes.)</t>
        </is>
      </c>
      <c r="E38" t="inlineStr">
        <is>
          <t>3-Involucramiento pasado</t>
        </is>
      </c>
      <c r="F38" t="n">
        <v>0</v>
      </c>
      <c r="G38" t="n">
        <v>4</v>
      </c>
      <c r="H38" t="inlineStr">
        <is>
          <t>Directo</t>
        </is>
      </c>
      <c r="I38" t="n">
        <v>0</v>
      </c>
      <c r="J38">
        <f>IF(H38="Inverso",G38-I38,I38)</f>
        <v/>
      </c>
      <c r="K38">
        <f>IFERROR(J38/G38,0)</f>
        <v/>
      </c>
      <c r="L38" t="inlineStr">
        <is>
          <t>R038</t>
        </is>
      </c>
      <c r="M38" t="inlineStr">
        <is>
          <t>Si</t>
        </is>
      </c>
      <c r="N38">
        <f>INDEX(Pesos_Dimensiones!$C$2:$C$22,MATCH(B38,Pesos_Dimensiones!$A$2:$A$22,0))</f>
        <v/>
      </c>
      <c r="O38">
        <f>1/COUNTIF($B$2:$B$211,B38)</f>
        <v/>
      </c>
      <c r="P38">
        <f>IF(OR(C38="Base",C38="Adicional"),N38*O38,0)</f>
        <v/>
      </c>
      <c r="Q38">
        <f>K38*P38</f>
        <v/>
      </c>
    </row>
    <row r="39">
      <c r="A39" t="inlineStr">
        <is>
          <t>R038</t>
        </is>
      </c>
      <c r="B39" t="inlineStr">
        <is>
          <t>Irresponsabilidad</t>
        </is>
      </c>
      <c r="C39">
        <f>INDEX(Pesos_Dimensiones!$B$2:$B$22,MATCH(B39,Pesos_Dimensiones!$A$2:$A$22,0))</f>
        <v/>
      </c>
      <c r="D39" t="inlineStr">
        <is>
          <t>Intención futura — indicador 4 (Ausencia de seguimiento a compromisos pendientes.)</t>
        </is>
      </c>
      <c r="E39" t="inlineStr">
        <is>
          <t>6-Intención futura</t>
        </is>
      </c>
      <c r="F39" t="n">
        <v>0</v>
      </c>
      <c r="G39" t="n">
        <v>4</v>
      </c>
      <c r="H39" t="inlineStr">
        <is>
          <t>Inverso</t>
        </is>
      </c>
      <c r="I39" t="n">
        <v>0</v>
      </c>
      <c r="J39">
        <f>IF(H39="Inverso",G39-I39,I39)</f>
        <v/>
      </c>
      <c r="K39">
        <f>IFERROR(J39/G39,0)</f>
        <v/>
      </c>
      <c r="L39" t="inlineStr">
        <is>
          <t>R037</t>
        </is>
      </c>
      <c r="M39" t="inlineStr">
        <is>
          <t>Si</t>
        </is>
      </c>
      <c r="N39">
        <f>INDEX(Pesos_Dimensiones!$C$2:$C$22,MATCH(B39,Pesos_Dimensiones!$A$2:$A$22,0))</f>
        <v/>
      </c>
      <c r="O39">
        <f>1/COUNTIF($B$2:$B$211,B39)</f>
        <v/>
      </c>
      <c r="P39">
        <f>IF(OR(C39="Base",C39="Adicional"),N39*O39,0)</f>
        <v/>
      </c>
      <c r="Q39">
        <f>K39*P39</f>
        <v/>
      </c>
    </row>
    <row r="40">
      <c r="A40" t="inlineStr">
        <is>
          <t>R039</t>
        </is>
      </c>
      <c r="B40" t="inlineStr">
        <is>
          <t>Irresponsabilidad</t>
        </is>
      </c>
      <c r="C40">
        <f>INDEX(Pesos_Dimensiones!$B$2:$B$22,MATCH(B40,Pesos_Dimensiones!$A$2:$A$22,0))</f>
        <v/>
      </c>
      <c r="D40" t="inlineStr">
        <is>
          <t>Escenario/dilema — indicador 1 (Atribución de errores propios a factores externos o a otras personas.)</t>
        </is>
      </c>
      <c r="E40" t="inlineStr">
        <is>
          <t>4-Escenario/dilema</t>
        </is>
      </c>
      <c r="F40" t="n">
        <v>0</v>
      </c>
      <c r="G40" t="n">
        <v>3</v>
      </c>
      <c r="H40" t="inlineStr">
        <is>
          <t>Directo</t>
        </is>
      </c>
      <c r="I40" t="n">
        <v>0</v>
      </c>
      <c r="J40">
        <f>IF(H40="Inverso",G40-I40,I40)</f>
        <v/>
      </c>
      <c r="K40">
        <f>IFERROR(J40/G40,0)</f>
        <v/>
      </c>
      <c r="L40" t="inlineStr">
        <is>
          <t>R040</t>
        </is>
      </c>
      <c r="M40" t="inlineStr">
        <is>
          <t>Si</t>
        </is>
      </c>
      <c r="N40">
        <f>INDEX(Pesos_Dimensiones!$C$2:$C$22,MATCH(B40,Pesos_Dimensiones!$A$2:$A$22,0))</f>
        <v/>
      </c>
      <c r="O40">
        <f>1/COUNTIF($B$2:$B$211,B40)</f>
        <v/>
      </c>
      <c r="P40">
        <f>IF(OR(C40="Base",C40="Adicional"),N40*O40,0)</f>
        <v/>
      </c>
      <c r="Q40">
        <f>K40*P40</f>
        <v/>
      </c>
    </row>
    <row r="41">
      <c r="A41" t="inlineStr">
        <is>
          <t>R040</t>
        </is>
      </c>
      <c r="B41" t="inlineStr">
        <is>
          <t>Irresponsabilidad</t>
        </is>
      </c>
      <c r="C41">
        <f>INDEX(Pesos_Dimensiones!$B$2:$B$22,MATCH(B41,Pesos_Dimensiones!$A$2:$A$22,0))</f>
        <v/>
      </c>
      <c r="D41" t="inlineStr">
        <is>
          <t>Percepción de terceros — indicador 1 (Atribución de errores propios a factores externos o a otras personas.)</t>
        </is>
      </c>
      <c r="E41" t="inlineStr">
        <is>
          <t>2-Percepción de terceros</t>
        </is>
      </c>
      <c r="F41" t="n">
        <v>0</v>
      </c>
      <c r="G41" t="n">
        <v>3</v>
      </c>
      <c r="H41" t="inlineStr">
        <is>
          <t>Directo</t>
        </is>
      </c>
      <c r="I41" t="n">
        <v>0</v>
      </c>
      <c r="J41">
        <f>IF(H41="Inverso",G41-I41,I41)</f>
        <v/>
      </c>
      <c r="K41">
        <f>IFERROR(J41/G41,0)</f>
        <v/>
      </c>
      <c r="L41" t="inlineStr">
        <is>
          <t>R039</t>
        </is>
      </c>
      <c r="M41" t="inlineStr">
        <is>
          <t>Si</t>
        </is>
      </c>
      <c r="N41">
        <f>INDEX(Pesos_Dimensiones!$C$2:$C$22,MATCH(B41,Pesos_Dimensiones!$A$2:$A$22,0))</f>
        <v/>
      </c>
      <c r="O41">
        <f>1/COUNTIF($B$2:$B$211,B41)</f>
        <v/>
      </c>
      <c r="P41">
        <f>IF(OR(C41="Base",C41="Adicional"),N41*O41,0)</f>
        <v/>
      </c>
      <c r="Q41">
        <f>K41*P41</f>
        <v/>
      </c>
    </row>
    <row r="42">
      <c r="A42" t="inlineStr">
        <is>
          <t>R041</t>
        </is>
      </c>
      <c r="B42" t="inlineStr">
        <is>
          <t>Soborno</t>
        </is>
      </c>
      <c r="C42">
        <f>INDEX(Pesos_Dimensiones!$B$2:$B$22,MATCH(B42,Pesos_Dimensiones!$A$2:$A$22,0))</f>
        <v/>
      </c>
      <c r="D42" t="inlineStr">
        <is>
          <t>Opinión/Actitud — indicador 1 (Aceptación de regalos o favores condicionados a decisiones futuras.)</t>
        </is>
      </c>
      <c r="E42" t="inlineStr">
        <is>
          <t>1-Opinión/Actitud</t>
        </is>
      </c>
      <c r="F42" t="n">
        <v>0</v>
      </c>
      <c r="G42" t="n">
        <v>4</v>
      </c>
      <c r="H42" t="inlineStr">
        <is>
          <t>Directo</t>
        </is>
      </c>
      <c r="I42" t="n">
        <v>0</v>
      </c>
      <c r="J42">
        <f>IF(H42="Inverso",G42-I42,I42)</f>
        <v/>
      </c>
      <c r="K42">
        <f>IFERROR(J42/G42,0)</f>
        <v/>
      </c>
      <c r="L42" t="inlineStr">
        <is>
          <t>R042</t>
        </is>
      </c>
      <c r="M42" t="inlineStr">
        <is>
          <t>Si</t>
        </is>
      </c>
      <c r="N42">
        <f>INDEX(Pesos_Dimensiones!$C$2:$C$22,MATCH(B42,Pesos_Dimensiones!$A$2:$A$22,0))</f>
        <v/>
      </c>
      <c r="O42">
        <f>1/COUNTIF($B$2:$B$211,B42)</f>
        <v/>
      </c>
      <c r="P42">
        <f>IF(OR(C42="Base",C42="Adicional"),N42*O42,0)</f>
        <v/>
      </c>
      <c r="Q42">
        <f>K42*P42</f>
        <v/>
      </c>
    </row>
    <row r="43">
      <c r="A43" t="inlineStr">
        <is>
          <t>R042</t>
        </is>
      </c>
      <c r="B43" t="inlineStr">
        <is>
          <t>Soborno</t>
        </is>
      </c>
      <c r="C43">
        <f>INDEX(Pesos_Dimensiones!$B$2:$B$22,MATCH(B43,Pesos_Dimensiones!$A$2:$A$22,0))</f>
        <v/>
      </c>
      <c r="D43" t="inlineStr">
        <is>
          <t>Intención futura — indicador 1 (Aceptación de regalos o favores condicionados a decisiones futuras.)</t>
        </is>
      </c>
      <c r="E43" t="inlineStr">
        <is>
          <t>6-Intención futura</t>
        </is>
      </c>
      <c r="F43" t="n">
        <v>0</v>
      </c>
      <c r="G43" t="n">
        <v>4</v>
      </c>
      <c r="H43" t="inlineStr">
        <is>
          <t>Inverso</t>
        </is>
      </c>
      <c r="I43" t="n">
        <v>0</v>
      </c>
      <c r="J43">
        <f>IF(H43="Inverso",G43-I43,I43)</f>
        <v/>
      </c>
      <c r="K43">
        <f>IFERROR(J43/G43,0)</f>
        <v/>
      </c>
      <c r="L43" t="inlineStr">
        <is>
          <t>R041</t>
        </is>
      </c>
      <c r="M43" t="inlineStr">
        <is>
          <t>Si</t>
        </is>
      </c>
      <c r="N43">
        <f>INDEX(Pesos_Dimensiones!$C$2:$C$22,MATCH(B43,Pesos_Dimensiones!$A$2:$A$22,0))</f>
        <v/>
      </c>
      <c r="O43">
        <f>1/COUNTIF($B$2:$B$211,B43)</f>
        <v/>
      </c>
      <c r="P43">
        <f>IF(OR(C43="Base",C43="Adicional"),N43*O43,0)</f>
        <v/>
      </c>
      <c r="Q43">
        <f>K43*P43</f>
        <v/>
      </c>
    </row>
    <row r="44">
      <c r="A44" t="inlineStr">
        <is>
          <t>R043</t>
        </is>
      </c>
      <c r="B44" t="inlineStr">
        <is>
          <t>Soborno</t>
        </is>
      </c>
      <c r="C44">
        <f>INDEX(Pesos_Dimensiones!$B$2:$B$22,MATCH(B44,Pesos_Dimensiones!$A$2:$A$22,0))</f>
        <v/>
      </c>
      <c r="D44" t="inlineStr">
        <is>
          <t>Involucramiento pasado — indicador 2 (Disposición declarada a ofrecer beneficios indebidos para obtener una …)</t>
        </is>
      </c>
      <c r="E44" t="inlineStr">
        <is>
          <t>3-Involucramiento pasado</t>
        </is>
      </c>
      <c r="F44" t="n">
        <v>0</v>
      </c>
      <c r="G44" t="n">
        <v>4</v>
      </c>
      <c r="H44" t="inlineStr">
        <is>
          <t>Directo</t>
        </is>
      </c>
      <c r="I44" t="n">
        <v>0</v>
      </c>
      <c r="J44">
        <f>IF(H44="Inverso",G44-I44,I44)</f>
        <v/>
      </c>
      <c r="K44">
        <f>IFERROR(J44/G44,0)</f>
        <v/>
      </c>
      <c r="L44" t="inlineStr">
        <is>
          <t>R044</t>
        </is>
      </c>
      <c r="M44" t="inlineStr">
        <is>
          <t>Si</t>
        </is>
      </c>
      <c r="N44">
        <f>INDEX(Pesos_Dimensiones!$C$2:$C$22,MATCH(B44,Pesos_Dimensiones!$A$2:$A$22,0))</f>
        <v/>
      </c>
      <c r="O44">
        <f>1/COUNTIF($B$2:$B$211,B44)</f>
        <v/>
      </c>
      <c r="P44">
        <f>IF(OR(C44="Base",C44="Adicional"),N44*O44,0)</f>
        <v/>
      </c>
      <c r="Q44">
        <f>K44*P44</f>
        <v/>
      </c>
    </row>
    <row r="45">
      <c r="A45" t="inlineStr">
        <is>
          <t>R044</t>
        </is>
      </c>
      <c r="B45" t="inlineStr">
        <is>
          <t>Soborno</t>
        </is>
      </c>
      <c r="C45">
        <f>INDEX(Pesos_Dimensiones!$B$2:$B$22,MATCH(B45,Pesos_Dimensiones!$A$2:$A$22,0))</f>
        <v/>
      </c>
      <c r="D45" t="inlineStr">
        <is>
          <t>Escenario/dilema — indicador 2 (Disposición declarada a ofrecer beneficios indebidos para obtener una …)</t>
        </is>
      </c>
      <c r="E45" t="inlineStr">
        <is>
          <t>4-Escenario/dilema</t>
        </is>
      </c>
      <c r="F45" t="n">
        <v>0</v>
      </c>
      <c r="G45" t="n">
        <v>3</v>
      </c>
      <c r="H45" t="inlineStr">
        <is>
          <t>Directo</t>
        </is>
      </c>
      <c r="I45" t="n">
        <v>0</v>
      </c>
      <c r="J45">
        <f>IF(H45="Inverso",G45-I45,I45)</f>
        <v/>
      </c>
      <c r="K45">
        <f>IFERROR(J45/G45,0)</f>
        <v/>
      </c>
      <c r="L45" t="inlineStr">
        <is>
          <t>R043</t>
        </is>
      </c>
      <c r="M45" t="inlineStr">
        <is>
          <t>Si</t>
        </is>
      </c>
      <c r="N45">
        <f>INDEX(Pesos_Dimensiones!$C$2:$C$22,MATCH(B45,Pesos_Dimensiones!$A$2:$A$22,0))</f>
        <v/>
      </c>
      <c r="O45">
        <f>1/COUNTIF($B$2:$B$211,B45)</f>
        <v/>
      </c>
      <c r="P45">
        <f>IF(OR(C45="Base",C45="Adicional"),N45*O45,0)</f>
        <v/>
      </c>
      <c r="Q45">
        <f>K45*P45</f>
        <v/>
      </c>
    </row>
    <row r="46">
      <c r="A46" t="inlineStr">
        <is>
          <t>R045</t>
        </is>
      </c>
      <c r="B46" t="inlineStr">
        <is>
          <t>Soborno</t>
        </is>
      </c>
      <c r="C46">
        <f>INDEX(Pesos_Dimensiones!$B$2:$B$22,MATCH(B46,Pesos_Dimensiones!$A$2:$A$22,0))</f>
        <v/>
      </c>
      <c r="D46" t="inlineStr">
        <is>
          <t>Percepción de terceros — indicador 3 (Normalización del soborno como "así funcionan las cosas".)</t>
        </is>
      </c>
      <c r="E46" t="inlineStr">
        <is>
          <t>2-Percepción de terceros</t>
        </is>
      </c>
      <c r="F46" t="n">
        <v>0</v>
      </c>
      <c r="G46" t="n">
        <v>3</v>
      </c>
      <c r="H46" t="inlineStr">
        <is>
          <t>Directo</t>
        </is>
      </c>
      <c r="I46" t="n">
        <v>0</v>
      </c>
      <c r="J46">
        <f>IF(H46="Inverso",G46-I46,I46)</f>
        <v/>
      </c>
      <c r="K46">
        <f>IFERROR(J46/G46,0)</f>
        <v/>
      </c>
      <c r="L46" t="inlineStr">
        <is>
          <t>R046</t>
        </is>
      </c>
      <c r="M46" t="inlineStr">
        <is>
          <t>Si</t>
        </is>
      </c>
      <c r="N46">
        <f>INDEX(Pesos_Dimensiones!$C$2:$C$22,MATCH(B46,Pesos_Dimensiones!$A$2:$A$22,0))</f>
        <v/>
      </c>
      <c r="O46">
        <f>1/COUNTIF($B$2:$B$211,B46)</f>
        <v/>
      </c>
      <c r="P46">
        <f>IF(OR(C46="Base",C46="Adicional"),N46*O46,0)</f>
        <v/>
      </c>
      <c r="Q46">
        <f>K46*P46</f>
        <v/>
      </c>
    </row>
    <row r="47">
      <c r="A47" t="inlineStr">
        <is>
          <t>R046</t>
        </is>
      </c>
      <c r="B47" t="inlineStr">
        <is>
          <t>Soborno</t>
        </is>
      </c>
      <c r="C47">
        <f>INDEX(Pesos_Dimensiones!$B$2:$B$22,MATCH(B47,Pesos_Dimensiones!$A$2:$A$22,0))</f>
        <v/>
      </c>
      <c r="D47" t="inlineStr">
        <is>
          <t>Opinión/Actitud — indicador 3 (Normalización del soborno como "así funcionan las cosas".)</t>
        </is>
      </c>
      <c r="E47" t="inlineStr">
        <is>
          <t>1-Opinión/Actitud</t>
        </is>
      </c>
      <c r="F47" t="n">
        <v>0</v>
      </c>
      <c r="G47" t="n">
        <v>4</v>
      </c>
      <c r="H47" t="inlineStr">
        <is>
          <t>Directo</t>
        </is>
      </c>
      <c r="I47" t="n">
        <v>0</v>
      </c>
      <c r="J47">
        <f>IF(H47="Inverso",G47-I47,I47)</f>
        <v/>
      </c>
      <c r="K47">
        <f>IFERROR(J47/G47,0)</f>
        <v/>
      </c>
      <c r="L47" t="inlineStr">
        <is>
          <t>R045</t>
        </is>
      </c>
      <c r="M47" t="inlineStr">
        <is>
          <t>Si</t>
        </is>
      </c>
      <c r="N47">
        <f>INDEX(Pesos_Dimensiones!$C$2:$C$22,MATCH(B47,Pesos_Dimensiones!$A$2:$A$22,0))</f>
        <v/>
      </c>
      <c r="O47">
        <f>1/COUNTIF($B$2:$B$211,B47)</f>
        <v/>
      </c>
      <c r="P47">
        <f>IF(OR(C47="Base",C47="Adicional"),N47*O47,0)</f>
        <v/>
      </c>
      <c r="Q47">
        <f>K47*P47</f>
        <v/>
      </c>
    </row>
    <row r="48">
      <c r="A48" t="inlineStr">
        <is>
          <t>R047</t>
        </is>
      </c>
      <c r="B48" t="inlineStr">
        <is>
          <t>Soborno</t>
        </is>
      </c>
      <c r="C48">
        <f>INDEX(Pesos_Dimensiones!$B$2:$B$22,MATCH(B48,Pesos_Dimensiones!$A$2:$A$22,0))</f>
        <v/>
      </c>
      <c r="D48" t="inlineStr">
        <is>
          <t>Involucramiento pasado — indicador 4 (Percepción de bajo riesgo de sanción asociado al soborno.)</t>
        </is>
      </c>
      <c r="E48" t="inlineStr">
        <is>
          <t>3-Involucramiento pasado</t>
        </is>
      </c>
      <c r="F48" t="n">
        <v>0</v>
      </c>
      <c r="G48" t="n">
        <v>4</v>
      </c>
      <c r="H48" t="inlineStr">
        <is>
          <t>Directo</t>
        </is>
      </c>
      <c r="I48" t="n">
        <v>0</v>
      </c>
      <c r="J48">
        <f>IF(H48="Inverso",G48-I48,I48)</f>
        <v/>
      </c>
      <c r="K48">
        <f>IFERROR(J48/G48,0)</f>
        <v/>
      </c>
      <c r="L48" t="inlineStr">
        <is>
          <t>R048</t>
        </is>
      </c>
      <c r="M48" t="inlineStr">
        <is>
          <t>Si</t>
        </is>
      </c>
      <c r="N48">
        <f>INDEX(Pesos_Dimensiones!$C$2:$C$22,MATCH(B48,Pesos_Dimensiones!$A$2:$A$22,0))</f>
        <v/>
      </c>
      <c r="O48">
        <f>1/COUNTIF($B$2:$B$211,B48)</f>
        <v/>
      </c>
      <c r="P48">
        <f>IF(OR(C48="Base",C48="Adicional"),N48*O48,0)</f>
        <v/>
      </c>
      <c r="Q48">
        <f>K48*P48</f>
        <v/>
      </c>
    </row>
    <row r="49">
      <c r="A49" t="inlineStr">
        <is>
          <t>R048</t>
        </is>
      </c>
      <c r="B49" t="inlineStr">
        <is>
          <t>Soborno</t>
        </is>
      </c>
      <c r="C49">
        <f>INDEX(Pesos_Dimensiones!$B$2:$B$22,MATCH(B49,Pesos_Dimensiones!$A$2:$A$22,0))</f>
        <v/>
      </c>
      <c r="D49" t="inlineStr">
        <is>
          <t>Intención futura — indicador 4 (Percepción de bajo riesgo de sanción asociado al soborno.)</t>
        </is>
      </c>
      <c r="E49" t="inlineStr">
        <is>
          <t>6-Intención futura</t>
        </is>
      </c>
      <c r="F49" t="n">
        <v>0</v>
      </c>
      <c r="G49" t="n">
        <v>4</v>
      </c>
      <c r="H49" t="inlineStr">
        <is>
          <t>Inverso</t>
        </is>
      </c>
      <c r="I49" t="n">
        <v>0</v>
      </c>
      <c r="J49">
        <f>IF(H49="Inverso",G49-I49,I49)</f>
        <v/>
      </c>
      <c r="K49">
        <f>IFERROR(J49/G49,0)</f>
        <v/>
      </c>
      <c r="L49" t="inlineStr">
        <is>
          <t>R047</t>
        </is>
      </c>
      <c r="M49" t="inlineStr">
        <is>
          <t>Si</t>
        </is>
      </c>
      <c r="N49">
        <f>INDEX(Pesos_Dimensiones!$C$2:$C$22,MATCH(B49,Pesos_Dimensiones!$A$2:$A$22,0))</f>
        <v/>
      </c>
      <c r="O49">
        <f>1/COUNTIF($B$2:$B$211,B49)</f>
        <v/>
      </c>
      <c r="P49">
        <f>IF(OR(C49="Base",C49="Adicional"),N49*O49,0)</f>
        <v/>
      </c>
      <c r="Q49">
        <f>K49*P49</f>
        <v/>
      </c>
    </row>
    <row r="50">
      <c r="A50" t="inlineStr">
        <is>
          <t>R049</t>
        </is>
      </c>
      <c r="B50" t="inlineStr">
        <is>
          <t>Soborno</t>
        </is>
      </c>
      <c r="C50">
        <f>INDEX(Pesos_Dimensiones!$B$2:$B$22,MATCH(B50,Pesos_Dimensiones!$A$2:$A$22,0))</f>
        <v/>
      </c>
      <c r="D50" t="inlineStr">
        <is>
          <t>Escenario/dilema — indicador 1 (Aceptación de regalos o favores condicionados a decisiones futuras.)</t>
        </is>
      </c>
      <c r="E50" t="inlineStr">
        <is>
          <t>4-Escenario/dilema</t>
        </is>
      </c>
      <c r="F50" t="n">
        <v>0</v>
      </c>
      <c r="G50" t="n">
        <v>3</v>
      </c>
      <c r="H50" t="inlineStr">
        <is>
          <t>Directo</t>
        </is>
      </c>
      <c r="I50" t="n">
        <v>0</v>
      </c>
      <c r="J50">
        <f>IF(H50="Inverso",G50-I50,I50)</f>
        <v/>
      </c>
      <c r="K50">
        <f>IFERROR(J50/G50,0)</f>
        <v/>
      </c>
      <c r="L50" t="inlineStr">
        <is>
          <t>R050</t>
        </is>
      </c>
      <c r="M50" t="inlineStr">
        <is>
          <t>Si</t>
        </is>
      </c>
      <c r="N50">
        <f>INDEX(Pesos_Dimensiones!$C$2:$C$22,MATCH(B50,Pesos_Dimensiones!$A$2:$A$22,0))</f>
        <v/>
      </c>
      <c r="O50">
        <f>1/COUNTIF($B$2:$B$211,B50)</f>
        <v/>
      </c>
      <c r="P50">
        <f>IF(OR(C50="Base",C50="Adicional"),N50*O50,0)</f>
        <v/>
      </c>
      <c r="Q50">
        <f>K50*P50</f>
        <v/>
      </c>
    </row>
    <row r="51">
      <c r="A51" t="inlineStr">
        <is>
          <t>R050</t>
        </is>
      </c>
      <c r="B51" t="inlineStr">
        <is>
          <t>Soborno</t>
        </is>
      </c>
      <c r="C51">
        <f>INDEX(Pesos_Dimensiones!$B$2:$B$22,MATCH(B51,Pesos_Dimensiones!$A$2:$A$22,0))</f>
        <v/>
      </c>
      <c r="D51" t="inlineStr">
        <is>
          <t>Percepción de terceros — indicador 1 (Aceptación de regalos o favores condicionados a decisiones futuras.)</t>
        </is>
      </c>
      <c r="E51" t="inlineStr">
        <is>
          <t>2-Percepción de terceros</t>
        </is>
      </c>
      <c r="F51" t="n">
        <v>0</v>
      </c>
      <c r="G51" t="n">
        <v>3</v>
      </c>
      <c r="H51" t="inlineStr">
        <is>
          <t>Directo</t>
        </is>
      </c>
      <c r="I51" t="n">
        <v>0</v>
      </c>
      <c r="J51">
        <f>IF(H51="Inverso",G51-I51,I51)</f>
        <v/>
      </c>
      <c r="K51">
        <f>IFERROR(J51/G51,0)</f>
        <v/>
      </c>
      <c r="L51" t="inlineStr">
        <is>
          <t>R049</t>
        </is>
      </c>
      <c r="M51" t="inlineStr">
        <is>
          <t>Si</t>
        </is>
      </c>
      <c r="N51">
        <f>INDEX(Pesos_Dimensiones!$C$2:$C$22,MATCH(B51,Pesos_Dimensiones!$A$2:$A$22,0))</f>
        <v/>
      </c>
      <c r="O51">
        <f>1/COUNTIF($B$2:$B$211,B51)</f>
        <v/>
      </c>
      <c r="P51">
        <f>IF(OR(C51="Base",C51="Adicional"),N51*O51,0)</f>
        <v/>
      </c>
      <c r="Q51">
        <f>K51*P51</f>
        <v/>
      </c>
    </row>
    <row r="52">
      <c r="A52" t="inlineStr">
        <is>
          <t>R051</t>
        </is>
      </c>
      <c r="B52" t="inlineStr">
        <is>
          <t>Deslealtad</t>
        </is>
      </c>
      <c r="C52">
        <f>INDEX(Pesos_Dimensiones!$B$2:$B$22,MATCH(B52,Pesos_Dimensiones!$A$2:$A$22,0))</f>
        <v/>
      </c>
      <c r="D52" t="inlineStr">
        <is>
          <t>Opinión/Actitud — indicador 1 (Disposición a compartir información interna con terceros no autorizado…)</t>
        </is>
      </c>
      <c r="E52" t="inlineStr">
        <is>
          <t>1-Opinión/Actitud</t>
        </is>
      </c>
      <c r="F52" t="n">
        <v>0</v>
      </c>
      <c r="G52" t="n">
        <v>4</v>
      </c>
      <c r="H52" t="inlineStr">
        <is>
          <t>Directo</t>
        </is>
      </c>
      <c r="I52" t="n">
        <v>0</v>
      </c>
      <c r="J52">
        <f>IF(H52="Inverso",G52-I52,I52)</f>
        <v/>
      </c>
      <c r="K52">
        <f>IFERROR(J52/G52,0)</f>
        <v/>
      </c>
      <c r="L52" t="inlineStr">
        <is>
          <t>R052</t>
        </is>
      </c>
      <c r="M52" t="inlineStr">
        <is>
          <t>Si</t>
        </is>
      </c>
      <c r="N52">
        <f>INDEX(Pesos_Dimensiones!$C$2:$C$22,MATCH(B52,Pesos_Dimensiones!$A$2:$A$22,0))</f>
        <v/>
      </c>
      <c r="O52">
        <f>1/COUNTIF($B$2:$B$211,B52)</f>
        <v/>
      </c>
      <c r="P52">
        <f>IF(OR(C52="Base",C52="Adicional"),N52*O52,0)</f>
        <v/>
      </c>
      <c r="Q52">
        <f>K52*P52</f>
        <v/>
      </c>
    </row>
    <row r="53">
      <c r="A53" t="inlineStr">
        <is>
          <t>R052</t>
        </is>
      </c>
      <c r="B53" t="inlineStr">
        <is>
          <t>Deslealtad</t>
        </is>
      </c>
      <c r="C53">
        <f>INDEX(Pesos_Dimensiones!$B$2:$B$22,MATCH(B53,Pesos_Dimensiones!$A$2:$A$22,0))</f>
        <v/>
      </c>
      <c r="D53" t="inlineStr">
        <is>
          <t>Intención futura — indicador 1 (Disposición a compartir información interna con terceros no autorizado…)</t>
        </is>
      </c>
      <c r="E53" t="inlineStr">
        <is>
          <t>6-Intención futura</t>
        </is>
      </c>
      <c r="F53" t="n">
        <v>0</v>
      </c>
      <c r="G53" t="n">
        <v>4</v>
      </c>
      <c r="H53" t="inlineStr">
        <is>
          <t>Inverso</t>
        </is>
      </c>
      <c r="I53" t="n">
        <v>0</v>
      </c>
      <c r="J53">
        <f>IF(H53="Inverso",G53-I53,I53)</f>
        <v/>
      </c>
      <c r="K53">
        <f>IFERROR(J53/G53,0)</f>
        <v/>
      </c>
      <c r="L53" t="inlineStr">
        <is>
          <t>R051</t>
        </is>
      </c>
      <c r="M53" t="inlineStr">
        <is>
          <t>Si</t>
        </is>
      </c>
      <c r="N53">
        <f>INDEX(Pesos_Dimensiones!$C$2:$C$22,MATCH(B53,Pesos_Dimensiones!$A$2:$A$22,0))</f>
        <v/>
      </c>
      <c r="O53">
        <f>1/COUNTIF($B$2:$B$211,B53)</f>
        <v/>
      </c>
      <c r="P53">
        <f>IF(OR(C53="Base",C53="Adicional"),N53*O53,0)</f>
        <v/>
      </c>
      <c r="Q53">
        <f>K53*P53</f>
        <v/>
      </c>
    </row>
    <row r="54">
      <c r="A54" t="inlineStr">
        <is>
          <t>R053</t>
        </is>
      </c>
      <c r="B54" t="inlineStr">
        <is>
          <t>Deslealtad</t>
        </is>
      </c>
      <c r="C54">
        <f>INDEX(Pesos_Dimensiones!$B$2:$B$22,MATCH(B54,Pesos_Dimensiones!$A$2:$A$22,0))</f>
        <v/>
      </c>
      <c r="D54" t="inlineStr">
        <is>
          <t>Involucramiento pasado — indicador 2 (Actitud favorable hacia acciones que dañan la reputación de la organiz…)</t>
        </is>
      </c>
      <c r="E54" t="inlineStr">
        <is>
          <t>3-Involucramiento pasado</t>
        </is>
      </c>
      <c r="F54" t="n">
        <v>0</v>
      </c>
      <c r="G54" t="n">
        <v>4</v>
      </c>
      <c r="H54" t="inlineStr">
        <is>
          <t>Directo</t>
        </is>
      </c>
      <c r="I54" t="n">
        <v>0</v>
      </c>
      <c r="J54">
        <f>IF(H54="Inverso",G54-I54,I54)</f>
        <v/>
      </c>
      <c r="K54">
        <f>IFERROR(J54/G54,0)</f>
        <v/>
      </c>
      <c r="L54" t="inlineStr">
        <is>
          <t>R054</t>
        </is>
      </c>
      <c r="M54" t="inlineStr">
        <is>
          <t>Si</t>
        </is>
      </c>
      <c r="N54">
        <f>INDEX(Pesos_Dimensiones!$C$2:$C$22,MATCH(B54,Pesos_Dimensiones!$A$2:$A$22,0))</f>
        <v/>
      </c>
      <c r="O54">
        <f>1/COUNTIF($B$2:$B$211,B54)</f>
        <v/>
      </c>
      <c r="P54">
        <f>IF(OR(C54="Base",C54="Adicional"),N54*O54,0)</f>
        <v/>
      </c>
      <c r="Q54">
        <f>K54*P54</f>
        <v/>
      </c>
    </row>
    <row r="55">
      <c r="A55" t="inlineStr">
        <is>
          <t>R054</t>
        </is>
      </c>
      <c r="B55" t="inlineStr">
        <is>
          <t>Deslealtad</t>
        </is>
      </c>
      <c r="C55">
        <f>INDEX(Pesos_Dimensiones!$B$2:$B$22,MATCH(B55,Pesos_Dimensiones!$A$2:$A$22,0))</f>
        <v/>
      </c>
      <c r="D55" t="inlineStr">
        <is>
          <t>Escenario/dilema — indicador 2 (Actitud favorable hacia acciones que dañan la reputación de la organiz…)</t>
        </is>
      </c>
      <c r="E55" t="inlineStr">
        <is>
          <t>4-Escenario/dilema</t>
        </is>
      </c>
      <c r="F55" t="n">
        <v>0</v>
      </c>
      <c r="G55" t="n">
        <v>3</v>
      </c>
      <c r="H55" t="inlineStr">
        <is>
          <t>Directo</t>
        </is>
      </c>
      <c r="I55" t="n">
        <v>0</v>
      </c>
      <c r="J55">
        <f>IF(H55="Inverso",G55-I55,I55)</f>
        <v/>
      </c>
      <c r="K55">
        <f>IFERROR(J55/G55,0)</f>
        <v/>
      </c>
      <c r="L55" t="inlineStr">
        <is>
          <t>R053</t>
        </is>
      </c>
      <c r="M55" t="inlineStr">
        <is>
          <t>Si</t>
        </is>
      </c>
      <c r="N55">
        <f>INDEX(Pesos_Dimensiones!$C$2:$C$22,MATCH(B55,Pesos_Dimensiones!$A$2:$A$22,0))</f>
        <v/>
      </c>
      <c r="O55">
        <f>1/COUNTIF($B$2:$B$211,B55)</f>
        <v/>
      </c>
      <c r="P55">
        <f>IF(OR(C55="Base",C55="Adicional"),N55*O55,0)</f>
        <v/>
      </c>
      <c r="Q55">
        <f>K55*P55</f>
        <v/>
      </c>
    </row>
    <row r="56">
      <c r="A56" t="inlineStr">
        <is>
          <t>R055</t>
        </is>
      </c>
      <c r="B56" t="inlineStr">
        <is>
          <t>Deslealtad</t>
        </is>
      </c>
      <c r="C56">
        <f>INDEX(Pesos_Dimensiones!$B$2:$B$22,MATCH(B56,Pesos_Dimensiones!$A$2:$A$22,0))</f>
        <v/>
      </c>
      <c r="D56" t="inlineStr">
        <is>
          <t>Percepción de terceros — indicador 3 (Disposición a colaborar con la competencia mientras se mantiene la rel…)</t>
        </is>
      </c>
      <c r="E56" t="inlineStr">
        <is>
          <t>2-Percepción de terceros</t>
        </is>
      </c>
      <c r="F56" t="n">
        <v>0</v>
      </c>
      <c r="G56" t="n">
        <v>3</v>
      </c>
      <c r="H56" t="inlineStr">
        <is>
          <t>Directo</t>
        </is>
      </c>
      <c r="I56" t="n">
        <v>0</v>
      </c>
      <c r="J56">
        <f>IF(H56="Inverso",G56-I56,I56)</f>
        <v/>
      </c>
      <c r="K56">
        <f>IFERROR(J56/G56,0)</f>
        <v/>
      </c>
      <c r="L56" t="inlineStr">
        <is>
          <t>R056</t>
        </is>
      </c>
      <c r="M56" t="inlineStr">
        <is>
          <t>Si</t>
        </is>
      </c>
      <c r="N56">
        <f>INDEX(Pesos_Dimensiones!$C$2:$C$22,MATCH(B56,Pesos_Dimensiones!$A$2:$A$22,0))</f>
        <v/>
      </c>
      <c r="O56">
        <f>1/COUNTIF($B$2:$B$211,B56)</f>
        <v/>
      </c>
      <c r="P56">
        <f>IF(OR(C56="Base",C56="Adicional"),N56*O56,0)</f>
        <v/>
      </c>
      <c r="Q56">
        <f>K56*P56</f>
        <v/>
      </c>
    </row>
    <row r="57">
      <c r="A57" t="inlineStr">
        <is>
          <t>R056</t>
        </is>
      </c>
      <c r="B57" t="inlineStr">
        <is>
          <t>Deslealtad</t>
        </is>
      </c>
      <c r="C57">
        <f>INDEX(Pesos_Dimensiones!$B$2:$B$22,MATCH(B57,Pesos_Dimensiones!$A$2:$A$22,0))</f>
        <v/>
      </c>
      <c r="D57" t="inlineStr">
        <is>
          <t>Opinión/Actitud — indicador 3 (Disposición a colaborar con la competencia mientras se mantiene la rel…)</t>
        </is>
      </c>
      <c r="E57" t="inlineStr">
        <is>
          <t>1-Opinión/Actitud</t>
        </is>
      </c>
      <c r="F57" t="n">
        <v>0</v>
      </c>
      <c r="G57" t="n">
        <v>4</v>
      </c>
      <c r="H57" t="inlineStr">
        <is>
          <t>Directo</t>
        </is>
      </c>
      <c r="I57" t="n">
        <v>0</v>
      </c>
      <c r="J57">
        <f>IF(H57="Inverso",G57-I57,I57)</f>
        <v/>
      </c>
      <c r="K57">
        <f>IFERROR(J57/G57,0)</f>
        <v/>
      </c>
      <c r="L57" t="inlineStr">
        <is>
          <t>R055</t>
        </is>
      </c>
      <c r="M57" t="inlineStr">
        <is>
          <t>Si</t>
        </is>
      </c>
      <c r="N57">
        <f>INDEX(Pesos_Dimensiones!$C$2:$C$22,MATCH(B57,Pesos_Dimensiones!$A$2:$A$22,0))</f>
        <v/>
      </c>
      <c r="O57">
        <f>1/COUNTIF($B$2:$B$211,B57)</f>
        <v/>
      </c>
      <c r="P57">
        <f>IF(OR(C57="Base",C57="Adicional"),N57*O57,0)</f>
        <v/>
      </c>
      <c r="Q57">
        <f>K57*P57</f>
        <v/>
      </c>
    </row>
    <row r="58">
      <c r="A58" t="inlineStr">
        <is>
          <t>R057</t>
        </is>
      </c>
      <c r="B58" t="inlineStr">
        <is>
          <t>Deslealtad</t>
        </is>
      </c>
      <c r="C58">
        <f>INDEX(Pesos_Dimensiones!$B$2:$B$22,MATCH(B58,Pesos_Dimensiones!$A$2:$A$22,0))</f>
        <v/>
      </c>
      <c r="D58" t="inlineStr">
        <is>
          <t>Involucramiento pasado — indicador 4 (Baja identificación declarada con los objetivos organizacionales.)</t>
        </is>
      </c>
      <c r="E58" t="inlineStr">
        <is>
          <t>3-Involucramiento pasado</t>
        </is>
      </c>
      <c r="F58" t="n">
        <v>0</v>
      </c>
      <c r="G58" t="n">
        <v>4</v>
      </c>
      <c r="H58" t="inlineStr">
        <is>
          <t>Directo</t>
        </is>
      </c>
      <c r="I58" t="n">
        <v>0</v>
      </c>
      <c r="J58">
        <f>IF(H58="Inverso",G58-I58,I58)</f>
        <v/>
      </c>
      <c r="K58">
        <f>IFERROR(J58/G58,0)</f>
        <v/>
      </c>
      <c r="L58" t="inlineStr">
        <is>
          <t>R058</t>
        </is>
      </c>
      <c r="M58" t="inlineStr">
        <is>
          <t>Si</t>
        </is>
      </c>
      <c r="N58">
        <f>INDEX(Pesos_Dimensiones!$C$2:$C$22,MATCH(B58,Pesos_Dimensiones!$A$2:$A$22,0))</f>
        <v/>
      </c>
      <c r="O58">
        <f>1/COUNTIF($B$2:$B$211,B58)</f>
        <v/>
      </c>
      <c r="P58">
        <f>IF(OR(C58="Base",C58="Adicional"),N58*O58,0)</f>
        <v/>
      </c>
      <c r="Q58">
        <f>K58*P58</f>
        <v/>
      </c>
    </row>
    <row r="59">
      <c r="A59" t="inlineStr">
        <is>
          <t>R058</t>
        </is>
      </c>
      <c r="B59" t="inlineStr">
        <is>
          <t>Deslealtad</t>
        </is>
      </c>
      <c r="C59">
        <f>INDEX(Pesos_Dimensiones!$B$2:$B$22,MATCH(B59,Pesos_Dimensiones!$A$2:$A$22,0))</f>
        <v/>
      </c>
      <c r="D59" t="inlineStr">
        <is>
          <t>Intención futura — indicador 4 (Baja identificación declarada con los objetivos organizacionales.)</t>
        </is>
      </c>
      <c r="E59" t="inlineStr">
        <is>
          <t>6-Intención futura</t>
        </is>
      </c>
      <c r="F59" t="n">
        <v>0</v>
      </c>
      <c r="G59" t="n">
        <v>4</v>
      </c>
      <c r="H59" t="inlineStr">
        <is>
          <t>Inverso</t>
        </is>
      </c>
      <c r="I59" t="n">
        <v>0</v>
      </c>
      <c r="J59">
        <f>IF(H59="Inverso",G59-I59,I59)</f>
        <v/>
      </c>
      <c r="K59">
        <f>IFERROR(J59/G59,0)</f>
        <v/>
      </c>
      <c r="L59" t="inlineStr">
        <is>
          <t>R057</t>
        </is>
      </c>
      <c r="M59" t="inlineStr">
        <is>
          <t>Si</t>
        </is>
      </c>
      <c r="N59">
        <f>INDEX(Pesos_Dimensiones!$C$2:$C$22,MATCH(B59,Pesos_Dimensiones!$A$2:$A$22,0))</f>
        <v/>
      </c>
      <c r="O59">
        <f>1/COUNTIF($B$2:$B$211,B59)</f>
        <v/>
      </c>
      <c r="P59">
        <f>IF(OR(C59="Base",C59="Adicional"),N59*O59,0)</f>
        <v/>
      </c>
      <c r="Q59">
        <f>K59*P59</f>
        <v/>
      </c>
    </row>
    <row r="60">
      <c r="A60" t="inlineStr">
        <is>
          <t>R059</t>
        </is>
      </c>
      <c r="B60" t="inlineStr">
        <is>
          <t>Deslealtad</t>
        </is>
      </c>
      <c r="C60">
        <f>INDEX(Pesos_Dimensiones!$B$2:$B$22,MATCH(B60,Pesos_Dimensiones!$A$2:$A$22,0))</f>
        <v/>
      </c>
      <c r="D60" t="inlineStr">
        <is>
          <t>Escenario/dilema — indicador 1 (Disposición a compartir información interna con terceros no autorizado…)</t>
        </is>
      </c>
      <c r="E60" t="inlineStr">
        <is>
          <t>4-Escenario/dilema</t>
        </is>
      </c>
      <c r="F60" t="n">
        <v>0</v>
      </c>
      <c r="G60" t="n">
        <v>3</v>
      </c>
      <c r="H60" t="inlineStr">
        <is>
          <t>Directo</t>
        </is>
      </c>
      <c r="I60" t="n">
        <v>0</v>
      </c>
      <c r="J60">
        <f>IF(H60="Inverso",G60-I60,I60)</f>
        <v/>
      </c>
      <c r="K60">
        <f>IFERROR(J60/G60,0)</f>
        <v/>
      </c>
      <c r="L60" t="inlineStr">
        <is>
          <t>R060</t>
        </is>
      </c>
      <c r="M60" t="inlineStr">
        <is>
          <t>Si</t>
        </is>
      </c>
      <c r="N60">
        <f>INDEX(Pesos_Dimensiones!$C$2:$C$22,MATCH(B60,Pesos_Dimensiones!$A$2:$A$22,0))</f>
        <v/>
      </c>
      <c r="O60">
        <f>1/COUNTIF($B$2:$B$211,B60)</f>
        <v/>
      </c>
      <c r="P60">
        <f>IF(OR(C60="Base",C60="Adicional"),N60*O60,0)</f>
        <v/>
      </c>
      <c r="Q60">
        <f>K60*P60</f>
        <v/>
      </c>
    </row>
    <row r="61">
      <c r="A61" t="inlineStr">
        <is>
          <t>R060</t>
        </is>
      </c>
      <c r="B61" t="inlineStr">
        <is>
          <t>Deslealtad</t>
        </is>
      </c>
      <c r="C61">
        <f>INDEX(Pesos_Dimensiones!$B$2:$B$22,MATCH(B61,Pesos_Dimensiones!$A$2:$A$22,0))</f>
        <v/>
      </c>
      <c r="D61" t="inlineStr">
        <is>
          <t>Percepción de terceros — indicador 1 (Disposición a compartir información interna con terceros no autorizado…)</t>
        </is>
      </c>
      <c r="E61" t="inlineStr">
        <is>
          <t>2-Percepción de terceros</t>
        </is>
      </c>
      <c r="F61" t="n">
        <v>0</v>
      </c>
      <c r="G61" t="n">
        <v>3</v>
      </c>
      <c r="H61" t="inlineStr">
        <is>
          <t>Directo</t>
        </is>
      </c>
      <c r="I61" t="n">
        <v>0</v>
      </c>
      <c r="J61">
        <f>IF(H61="Inverso",G61-I61,I61)</f>
        <v/>
      </c>
      <c r="K61">
        <f>IFERROR(J61/G61,0)</f>
        <v/>
      </c>
      <c r="L61" t="inlineStr">
        <is>
          <t>R059</t>
        </is>
      </c>
      <c r="M61" t="inlineStr">
        <is>
          <t>Si</t>
        </is>
      </c>
      <c r="N61">
        <f>INDEX(Pesos_Dimensiones!$C$2:$C$22,MATCH(B61,Pesos_Dimensiones!$A$2:$A$22,0))</f>
        <v/>
      </c>
      <c r="O61">
        <f>1/COUNTIF($B$2:$B$211,B61)</f>
        <v/>
      </c>
      <c r="P61">
        <f>IF(OR(C61="Base",C61="Adicional"),N61*O61,0)</f>
        <v/>
      </c>
      <c r="Q61">
        <f>K61*P61</f>
        <v/>
      </c>
    </row>
    <row r="62">
      <c r="A62" t="inlineStr">
        <is>
          <t>R061</t>
        </is>
      </c>
      <c r="B62" t="inlineStr">
        <is>
          <t>Favoritismo</t>
        </is>
      </c>
      <c r="C62">
        <f>INDEX(Pesos_Dimensiones!$B$2:$B$22,MATCH(B62,Pesos_Dimensiones!$A$2:$A$22,0))</f>
        <v/>
      </c>
      <c r="D62" t="inlineStr">
        <is>
          <t>Opinión/Actitud — indicador 1 (Preferencia declarada por decisiones basadas en cercanía personal ante…)</t>
        </is>
      </c>
      <c r="E62" t="inlineStr">
        <is>
          <t>1-Opinión/Actitud</t>
        </is>
      </c>
      <c r="F62" t="n">
        <v>0</v>
      </c>
      <c r="G62" t="n">
        <v>4</v>
      </c>
      <c r="H62" t="inlineStr">
        <is>
          <t>Directo</t>
        </is>
      </c>
      <c r="I62" t="n">
        <v>0</v>
      </c>
      <c r="J62">
        <f>IF(H62="Inverso",G62-I62,I62)</f>
        <v/>
      </c>
      <c r="K62">
        <f>IFERROR(J62/G62,0)</f>
        <v/>
      </c>
      <c r="L62" t="inlineStr">
        <is>
          <t>R062</t>
        </is>
      </c>
      <c r="M62" t="inlineStr">
        <is>
          <t>Si</t>
        </is>
      </c>
      <c r="N62">
        <f>INDEX(Pesos_Dimensiones!$C$2:$C$22,MATCH(B62,Pesos_Dimensiones!$A$2:$A$22,0))</f>
        <v/>
      </c>
      <c r="O62">
        <f>1/COUNTIF($B$2:$B$211,B62)</f>
        <v/>
      </c>
      <c r="P62">
        <f>IF(OR(C62="Base",C62="Adicional"),N62*O62,0)</f>
        <v/>
      </c>
      <c r="Q62">
        <f>K62*P62</f>
        <v/>
      </c>
    </row>
    <row r="63">
      <c r="A63" t="inlineStr">
        <is>
          <t>R062</t>
        </is>
      </c>
      <c r="B63" t="inlineStr">
        <is>
          <t>Favoritismo</t>
        </is>
      </c>
      <c r="C63">
        <f>INDEX(Pesos_Dimensiones!$B$2:$B$22,MATCH(B63,Pesos_Dimensiones!$A$2:$A$22,0))</f>
        <v/>
      </c>
      <c r="D63" t="inlineStr">
        <is>
          <t>Intención futura — indicador 1 (Preferencia declarada por decisiones basadas en cercanía personal ante…)</t>
        </is>
      </c>
      <c r="E63" t="inlineStr">
        <is>
          <t>6-Intención futura</t>
        </is>
      </c>
      <c r="F63" t="n">
        <v>0</v>
      </c>
      <c r="G63" t="n">
        <v>4</v>
      </c>
      <c r="H63" t="inlineStr">
        <is>
          <t>Inverso</t>
        </is>
      </c>
      <c r="I63" t="n">
        <v>0</v>
      </c>
      <c r="J63">
        <f>IF(H63="Inverso",G63-I63,I63)</f>
        <v/>
      </c>
      <c r="K63">
        <f>IFERROR(J63/G63,0)</f>
        <v/>
      </c>
      <c r="L63" t="inlineStr">
        <is>
          <t>R061</t>
        </is>
      </c>
      <c r="M63" t="inlineStr">
        <is>
          <t>Si</t>
        </is>
      </c>
      <c r="N63">
        <f>INDEX(Pesos_Dimensiones!$C$2:$C$22,MATCH(B63,Pesos_Dimensiones!$A$2:$A$22,0))</f>
        <v/>
      </c>
      <c r="O63">
        <f>1/COUNTIF($B$2:$B$211,B63)</f>
        <v/>
      </c>
      <c r="P63">
        <f>IF(OR(C63="Base",C63="Adicional"),N63*O63,0)</f>
        <v/>
      </c>
      <c r="Q63">
        <f>K63*P63</f>
        <v/>
      </c>
    </row>
    <row r="64">
      <c r="A64" t="inlineStr">
        <is>
          <t>R063</t>
        </is>
      </c>
      <c r="B64" t="inlineStr">
        <is>
          <t>Favoritismo</t>
        </is>
      </c>
      <c r="C64">
        <f>INDEX(Pesos_Dimensiones!$B$2:$B$22,MATCH(B64,Pesos_Dimensiones!$A$2:$A$22,0))</f>
        <v/>
      </c>
      <c r="D64" t="inlineStr">
        <is>
          <t>Involucramiento pasado — indicador 2 (Disposición a beneficiar a conocidos en procesos donde debería primar …)</t>
        </is>
      </c>
      <c r="E64" t="inlineStr">
        <is>
          <t>3-Involucramiento pasado</t>
        </is>
      </c>
      <c r="F64" t="n">
        <v>0</v>
      </c>
      <c r="G64" t="n">
        <v>4</v>
      </c>
      <c r="H64" t="inlineStr">
        <is>
          <t>Directo</t>
        </is>
      </c>
      <c r="I64" t="n">
        <v>0</v>
      </c>
      <c r="J64">
        <f>IF(H64="Inverso",G64-I64,I64)</f>
        <v/>
      </c>
      <c r="K64">
        <f>IFERROR(J64/G64,0)</f>
        <v/>
      </c>
      <c r="L64" t="inlineStr">
        <is>
          <t>R064</t>
        </is>
      </c>
      <c r="M64" t="inlineStr">
        <is>
          <t>Si</t>
        </is>
      </c>
      <c r="N64">
        <f>INDEX(Pesos_Dimensiones!$C$2:$C$22,MATCH(B64,Pesos_Dimensiones!$A$2:$A$22,0))</f>
        <v/>
      </c>
      <c r="O64">
        <f>1/COUNTIF($B$2:$B$211,B64)</f>
        <v/>
      </c>
      <c r="P64">
        <f>IF(OR(C64="Base",C64="Adicional"),N64*O64,0)</f>
        <v/>
      </c>
      <c r="Q64">
        <f>K64*P64</f>
        <v/>
      </c>
    </row>
    <row r="65">
      <c r="A65" t="inlineStr">
        <is>
          <t>R064</t>
        </is>
      </c>
      <c r="B65" t="inlineStr">
        <is>
          <t>Favoritismo</t>
        </is>
      </c>
      <c r="C65">
        <f>INDEX(Pesos_Dimensiones!$B$2:$B$22,MATCH(B65,Pesos_Dimensiones!$A$2:$A$22,0))</f>
        <v/>
      </c>
      <c r="D65" t="inlineStr">
        <is>
          <t>Escenario/dilema — indicador 2 (Disposición a beneficiar a conocidos en procesos donde debería primar …)</t>
        </is>
      </c>
      <c r="E65" t="inlineStr">
        <is>
          <t>4-Escenario/dilema</t>
        </is>
      </c>
      <c r="F65" t="n">
        <v>0</v>
      </c>
      <c r="G65" t="n">
        <v>3</v>
      </c>
      <c r="H65" t="inlineStr">
        <is>
          <t>Directo</t>
        </is>
      </c>
      <c r="I65" t="n">
        <v>0</v>
      </c>
      <c r="J65">
        <f>IF(H65="Inverso",G65-I65,I65)</f>
        <v/>
      </c>
      <c r="K65">
        <f>IFERROR(J65/G65,0)</f>
        <v/>
      </c>
      <c r="L65" t="inlineStr">
        <is>
          <t>R063</t>
        </is>
      </c>
      <c r="M65" t="inlineStr">
        <is>
          <t>Si</t>
        </is>
      </c>
      <c r="N65">
        <f>INDEX(Pesos_Dimensiones!$C$2:$C$22,MATCH(B65,Pesos_Dimensiones!$A$2:$A$22,0))</f>
        <v/>
      </c>
      <c r="O65">
        <f>1/COUNTIF($B$2:$B$211,B65)</f>
        <v/>
      </c>
      <c r="P65">
        <f>IF(OR(C65="Base",C65="Adicional"),N65*O65,0)</f>
        <v/>
      </c>
      <c r="Q65">
        <f>K65*P65</f>
        <v/>
      </c>
    </row>
    <row r="66">
      <c r="A66" t="inlineStr">
        <is>
          <t>R065</t>
        </is>
      </c>
      <c r="B66" t="inlineStr">
        <is>
          <t>Favoritismo</t>
        </is>
      </c>
      <c r="C66">
        <f>INDEX(Pesos_Dimensiones!$B$2:$B$22,MATCH(B66,Pesos_Dimensiones!$A$2:$A$22,0))</f>
        <v/>
      </c>
      <c r="D66" t="inlineStr">
        <is>
          <t>Percepción de terceros — indicador 3 (Minimización de conflictos de interés propios al tomar decisiones.)</t>
        </is>
      </c>
      <c r="E66" t="inlineStr">
        <is>
          <t>2-Percepción de terceros</t>
        </is>
      </c>
      <c r="F66" t="n">
        <v>0</v>
      </c>
      <c r="G66" t="n">
        <v>3</v>
      </c>
      <c r="H66" t="inlineStr">
        <is>
          <t>Directo</t>
        </is>
      </c>
      <c r="I66" t="n">
        <v>0</v>
      </c>
      <c r="J66">
        <f>IF(H66="Inverso",G66-I66,I66)</f>
        <v/>
      </c>
      <c r="K66">
        <f>IFERROR(J66/G66,0)</f>
        <v/>
      </c>
      <c r="L66" t="inlineStr">
        <is>
          <t>R066</t>
        </is>
      </c>
      <c r="M66" t="inlineStr">
        <is>
          <t>Si</t>
        </is>
      </c>
      <c r="N66">
        <f>INDEX(Pesos_Dimensiones!$C$2:$C$22,MATCH(B66,Pesos_Dimensiones!$A$2:$A$22,0))</f>
        <v/>
      </c>
      <c r="O66">
        <f>1/COUNTIF($B$2:$B$211,B66)</f>
        <v/>
      </c>
      <c r="P66">
        <f>IF(OR(C66="Base",C66="Adicional"),N66*O66,0)</f>
        <v/>
      </c>
      <c r="Q66">
        <f>K66*P66</f>
        <v/>
      </c>
    </row>
    <row r="67">
      <c r="A67" t="inlineStr">
        <is>
          <t>R066</t>
        </is>
      </c>
      <c r="B67" t="inlineStr">
        <is>
          <t>Favoritismo</t>
        </is>
      </c>
      <c r="C67">
        <f>INDEX(Pesos_Dimensiones!$B$2:$B$22,MATCH(B67,Pesos_Dimensiones!$A$2:$A$22,0))</f>
        <v/>
      </c>
      <c r="D67" t="inlineStr">
        <is>
          <t>Opinión/Actitud — indicador 3 (Minimización de conflictos de interés propios al tomar decisiones.)</t>
        </is>
      </c>
      <c r="E67" t="inlineStr">
        <is>
          <t>1-Opinión/Actitud</t>
        </is>
      </c>
      <c r="F67" t="n">
        <v>0</v>
      </c>
      <c r="G67" t="n">
        <v>4</v>
      </c>
      <c r="H67" t="inlineStr">
        <is>
          <t>Directo</t>
        </is>
      </c>
      <c r="I67" t="n">
        <v>0</v>
      </c>
      <c r="J67">
        <f>IF(H67="Inverso",G67-I67,I67)</f>
        <v/>
      </c>
      <c r="K67">
        <f>IFERROR(J67/G67,0)</f>
        <v/>
      </c>
      <c r="L67" t="inlineStr">
        <is>
          <t>R065</t>
        </is>
      </c>
      <c r="M67" t="inlineStr">
        <is>
          <t>Si</t>
        </is>
      </c>
      <c r="N67">
        <f>INDEX(Pesos_Dimensiones!$C$2:$C$22,MATCH(B67,Pesos_Dimensiones!$A$2:$A$22,0))</f>
        <v/>
      </c>
      <c r="O67">
        <f>1/COUNTIF($B$2:$B$211,B67)</f>
        <v/>
      </c>
      <c r="P67">
        <f>IF(OR(C67="Base",C67="Adicional"),N67*O67,0)</f>
        <v/>
      </c>
      <c r="Q67">
        <f>K67*P67</f>
        <v/>
      </c>
    </row>
    <row r="68">
      <c r="A68" t="inlineStr">
        <is>
          <t>R067</t>
        </is>
      </c>
      <c r="B68" t="inlineStr">
        <is>
          <t>Favoritismo</t>
        </is>
      </c>
      <c r="C68">
        <f>INDEX(Pesos_Dimensiones!$B$2:$B$22,MATCH(B68,Pesos_Dimensiones!$A$2:$A$22,0))</f>
        <v/>
      </c>
      <c r="D68" t="inlineStr">
        <is>
          <t>Involucramiento pasado — indicador 4 (Justificación de decisiones sesgadas como algo "normal" o "esperable".)</t>
        </is>
      </c>
      <c r="E68" t="inlineStr">
        <is>
          <t>3-Involucramiento pasado</t>
        </is>
      </c>
      <c r="F68" t="n">
        <v>0</v>
      </c>
      <c r="G68" t="n">
        <v>4</v>
      </c>
      <c r="H68" t="inlineStr">
        <is>
          <t>Directo</t>
        </is>
      </c>
      <c r="I68" t="n">
        <v>0</v>
      </c>
      <c r="J68">
        <f>IF(H68="Inverso",G68-I68,I68)</f>
        <v/>
      </c>
      <c r="K68">
        <f>IFERROR(J68/G68,0)</f>
        <v/>
      </c>
      <c r="L68" t="inlineStr">
        <is>
          <t>R068</t>
        </is>
      </c>
      <c r="M68" t="inlineStr">
        <is>
          <t>Si</t>
        </is>
      </c>
      <c r="N68">
        <f>INDEX(Pesos_Dimensiones!$C$2:$C$22,MATCH(B68,Pesos_Dimensiones!$A$2:$A$22,0))</f>
        <v/>
      </c>
      <c r="O68">
        <f>1/COUNTIF($B$2:$B$211,B68)</f>
        <v/>
      </c>
      <c r="P68">
        <f>IF(OR(C68="Base",C68="Adicional"),N68*O68,0)</f>
        <v/>
      </c>
      <c r="Q68">
        <f>K68*P68</f>
        <v/>
      </c>
    </row>
    <row r="69">
      <c r="A69" t="inlineStr">
        <is>
          <t>R068</t>
        </is>
      </c>
      <c r="B69" t="inlineStr">
        <is>
          <t>Favoritismo</t>
        </is>
      </c>
      <c r="C69">
        <f>INDEX(Pesos_Dimensiones!$B$2:$B$22,MATCH(B69,Pesos_Dimensiones!$A$2:$A$22,0))</f>
        <v/>
      </c>
      <c r="D69" t="inlineStr">
        <is>
          <t>Intención futura — indicador 4 (Justificación de decisiones sesgadas como algo "normal" o "esperable".)</t>
        </is>
      </c>
      <c r="E69" t="inlineStr">
        <is>
          <t>6-Intención futura</t>
        </is>
      </c>
      <c r="F69" t="n">
        <v>0</v>
      </c>
      <c r="G69" t="n">
        <v>4</v>
      </c>
      <c r="H69" t="inlineStr">
        <is>
          <t>Inverso</t>
        </is>
      </c>
      <c r="I69" t="n">
        <v>0</v>
      </c>
      <c r="J69">
        <f>IF(H69="Inverso",G69-I69,I69)</f>
        <v/>
      </c>
      <c r="K69">
        <f>IFERROR(J69/G69,0)</f>
        <v/>
      </c>
      <c r="L69" t="inlineStr">
        <is>
          <t>R067</t>
        </is>
      </c>
      <c r="M69" t="inlineStr">
        <is>
          <t>Si</t>
        </is>
      </c>
      <c r="N69">
        <f>INDEX(Pesos_Dimensiones!$C$2:$C$22,MATCH(B69,Pesos_Dimensiones!$A$2:$A$22,0))</f>
        <v/>
      </c>
      <c r="O69">
        <f>1/COUNTIF($B$2:$B$211,B69)</f>
        <v/>
      </c>
      <c r="P69">
        <f>IF(OR(C69="Base",C69="Adicional"),N69*O69,0)</f>
        <v/>
      </c>
      <c r="Q69">
        <f>K69*P69</f>
        <v/>
      </c>
    </row>
    <row r="70">
      <c r="A70" t="inlineStr">
        <is>
          <t>R069</t>
        </is>
      </c>
      <c r="B70" t="inlineStr">
        <is>
          <t>Favoritismo</t>
        </is>
      </c>
      <c r="C70">
        <f>INDEX(Pesos_Dimensiones!$B$2:$B$22,MATCH(B70,Pesos_Dimensiones!$A$2:$A$22,0))</f>
        <v/>
      </c>
      <c r="D70" t="inlineStr">
        <is>
          <t>Escenario/dilema — indicador 1 (Preferencia declarada por decisiones basadas en cercanía personal ante…)</t>
        </is>
      </c>
      <c r="E70" t="inlineStr">
        <is>
          <t>4-Escenario/dilema</t>
        </is>
      </c>
      <c r="F70" t="n">
        <v>0</v>
      </c>
      <c r="G70" t="n">
        <v>3</v>
      </c>
      <c r="H70" t="inlineStr">
        <is>
          <t>Directo</t>
        </is>
      </c>
      <c r="I70" t="n">
        <v>0</v>
      </c>
      <c r="J70">
        <f>IF(H70="Inverso",G70-I70,I70)</f>
        <v/>
      </c>
      <c r="K70">
        <f>IFERROR(J70/G70,0)</f>
        <v/>
      </c>
      <c r="L70" t="inlineStr">
        <is>
          <t>R070</t>
        </is>
      </c>
      <c r="M70" t="inlineStr">
        <is>
          <t>Si</t>
        </is>
      </c>
      <c r="N70">
        <f>INDEX(Pesos_Dimensiones!$C$2:$C$22,MATCH(B70,Pesos_Dimensiones!$A$2:$A$22,0))</f>
        <v/>
      </c>
      <c r="O70">
        <f>1/COUNTIF($B$2:$B$211,B70)</f>
        <v/>
      </c>
      <c r="P70">
        <f>IF(OR(C70="Base",C70="Adicional"),N70*O70,0)</f>
        <v/>
      </c>
      <c r="Q70">
        <f>K70*P70</f>
        <v/>
      </c>
    </row>
    <row r="71">
      <c r="A71" t="inlineStr">
        <is>
          <t>R070</t>
        </is>
      </c>
      <c r="B71" t="inlineStr">
        <is>
          <t>Favoritismo</t>
        </is>
      </c>
      <c r="C71">
        <f>INDEX(Pesos_Dimensiones!$B$2:$B$22,MATCH(B71,Pesos_Dimensiones!$A$2:$A$22,0))</f>
        <v/>
      </c>
      <c r="D71" t="inlineStr">
        <is>
          <t>Percepción de terceros — indicador 1 (Preferencia declarada por decisiones basadas en cercanía personal ante…)</t>
        </is>
      </c>
      <c r="E71" t="inlineStr">
        <is>
          <t>2-Percepción de terceros</t>
        </is>
      </c>
      <c r="F71" t="n">
        <v>0</v>
      </c>
      <c r="G71" t="n">
        <v>3</v>
      </c>
      <c r="H71" t="inlineStr">
        <is>
          <t>Directo</t>
        </is>
      </c>
      <c r="I71" t="n">
        <v>0</v>
      </c>
      <c r="J71">
        <f>IF(H71="Inverso",G71-I71,I71)</f>
        <v/>
      </c>
      <c r="K71">
        <f>IFERROR(J71/G71,0)</f>
        <v/>
      </c>
      <c r="L71" t="inlineStr">
        <is>
          <t>R069</t>
        </is>
      </c>
      <c r="M71" t="inlineStr">
        <is>
          <t>Si</t>
        </is>
      </c>
      <c r="N71">
        <f>INDEX(Pesos_Dimensiones!$C$2:$C$22,MATCH(B71,Pesos_Dimensiones!$A$2:$A$22,0))</f>
        <v/>
      </c>
      <c r="O71">
        <f>1/COUNTIF($B$2:$B$211,B71)</f>
        <v/>
      </c>
      <c r="P71">
        <f>IF(OR(C71="Base",C71="Adicional"),N71*O71,0)</f>
        <v/>
      </c>
      <c r="Q71">
        <f>K71*P71</f>
        <v/>
      </c>
    </row>
    <row r="72">
      <c r="A72" t="inlineStr">
        <is>
          <t>R071</t>
        </is>
      </c>
      <c r="B72" t="inlineStr">
        <is>
          <t>Abuso de Recursos</t>
        </is>
      </c>
      <c r="C72">
        <f>INDEX(Pesos_Dimensiones!$B$2:$B$22,MATCH(B72,Pesos_Dimensiones!$A$2:$A$22,0))</f>
        <v/>
      </c>
      <c r="D72" t="inlineStr">
        <is>
          <t>Opinión/Actitud — indicador 1 (Uso de equipos o materiales organizacionales para asuntos personales.)</t>
        </is>
      </c>
      <c r="E72" t="inlineStr">
        <is>
          <t>1-Opinión/Actitud</t>
        </is>
      </c>
      <c r="F72" t="n">
        <v>0</v>
      </c>
      <c r="G72" t="n">
        <v>4</v>
      </c>
      <c r="H72" t="inlineStr">
        <is>
          <t>Directo</t>
        </is>
      </c>
      <c r="I72" t="n">
        <v>0</v>
      </c>
      <c r="J72">
        <f>IF(H72="Inverso",G72-I72,I72)</f>
        <v/>
      </c>
      <c r="K72">
        <f>IFERROR(J72/G72,0)</f>
        <v/>
      </c>
      <c r="L72" t="inlineStr">
        <is>
          <t>R072</t>
        </is>
      </c>
      <c r="M72" t="inlineStr">
        <is>
          <t>Si</t>
        </is>
      </c>
      <c r="N72">
        <f>INDEX(Pesos_Dimensiones!$C$2:$C$22,MATCH(B72,Pesos_Dimensiones!$A$2:$A$22,0))</f>
        <v/>
      </c>
      <c r="O72">
        <f>1/COUNTIF($B$2:$B$211,B72)</f>
        <v/>
      </c>
      <c r="P72">
        <f>IF(OR(C72="Base",C72="Adicional"),N72*O72,0)</f>
        <v/>
      </c>
      <c r="Q72">
        <f>K72*P72</f>
        <v/>
      </c>
    </row>
    <row r="73">
      <c r="A73" t="inlineStr">
        <is>
          <t>R072</t>
        </is>
      </c>
      <c r="B73" t="inlineStr">
        <is>
          <t>Abuso de Recursos</t>
        </is>
      </c>
      <c r="C73">
        <f>INDEX(Pesos_Dimensiones!$B$2:$B$22,MATCH(B73,Pesos_Dimensiones!$A$2:$A$22,0))</f>
        <v/>
      </c>
      <c r="D73" t="inlineStr">
        <is>
          <t>Intención futura — indicador 1 (Uso de equipos o materiales organizacionales para asuntos personales.)</t>
        </is>
      </c>
      <c r="E73" t="inlineStr">
        <is>
          <t>6-Intención futura</t>
        </is>
      </c>
      <c r="F73" t="n">
        <v>0</v>
      </c>
      <c r="G73" t="n">
        <v>4</v>
      </c>
      <c r="H73" t="inlineStr">
        <is>
          <t>Inverso</t>
        </is>
      </c>
      <c r="I73" t="n">
        <v>0</v>
      </c>
      <c r="J73">
        <f>IF(H73="Inverso",G73-I73,I73)</f>
        <v/>
      </c>
      <c r="K73">
        <f>IFERROR(J73/G73,0)</f>
        <v/>
      </c>
      <c r="L73" t="inlineStr">
        <is>
          <t>R071</t>
        </is>
      </c>
      <c r="M73" t="inlineStr">
        <is>
          <t>Si</t>
        </is>
      </c>
      <c r="N73">
        <f>INDEX(Pesos_Dimensiones!$C$2:$C$22,MATCH(B73,Pesos_Dimensiones!$A$2:$A$22,0))</f>
        <v/>
      </c>
      <c r="O73">
        <f>1/COUNTIF($B$2:$B$211,B73)</f>
        <v/>
      </c>
      <c r="P73">
        <f>IF(OR(C73="Base",C73="Adicional"),N73*O73,0)</f>
        <v/>
      </c>
      <c r="Q73">
        <f>K73*P73</f>
        <v/>
      </c>
    </row>
    <row r="74">
      <c r="A74" t="inlineStr">
        <is>
          <t>R073</t>
        </is>
      </c>
      <c r="B74" t="inlineStr">
        <is>
          <t>Abuso de Recursos</t>
        </is>
      </c>
      <c r="C74">
        <f>INDEX(Pesos_Dimensiones!$B$2:$B$22,MATCH(B74,Pesos_Dimensiones!$A$2:$A$22,0))</f>
        <v/>
      </c>
      <c r="D74" t="inlineStr">
        <is>
          <t>Involucramiento pasado — indicador 2 (Uso del tiempo laboral para actividades ajenas a las funciones asignad…)</t>
        </is>
      </c>
      <c r="E74" t="inlineStr">
        <is>
          <t>3-Involucramiento pasado</t>
        </is>
      </c>
      <c r="F74" t="n">
        <v>0</v>
      </c>
      <c r="G74" t="n">
        <v>4</v>
      </c>
      <c r="H74" t="inlineStr">
        <is>
          <t>Directo</t>
        </is>
      </c>
      <c r="I74" t="n">
        <v>0</v>
      </c>
      <c r="J74">
        <f>IF(H74="Inverso",G74-I74,I74)</f>
        <v/>
      </c>
      <c r="K74">
        <f>IFERROR(J74/G74,0)</f>
        <v/>
      </c>
      <c r="L74" t="inlineStr">
        <is>
          <t>R074</t>
        </is>
      </c>
      <c r="M74" t="inlineStr">
        <is>
          <t>Si</t>
        </is>
      </c>
      <c r="N74">
        <f>INDEX(Pesos_Dimensiones!$C$2:$C$22,MATCH(B74,Pesos_Dimensiones!$A$2:$A$22,0))</f>
        <v/>
      </c>
      <c r="O74">
        <f>1/COUNTIF($B$2:$B$211,B74)</f>
        <v/>
      </c>
      <c r="P74">
        <f>IF(OR(C74="Base",C74="Adicional"),N74*O74,0)</f>
        <v/>
      </c>
      <c r="Q74">
        <f>K74*P74</f>
        <v/>
      </c>
    </row>
    <row r="75">
      <c r="A75" t="inlineStr">
        <is>
          <t>R074</t>
        </is>
      </c>
      <c r="B75" t="inlineStr">
        <is>
          <t>Abuso de Recursos</t>
        </is>
      </c>
      <c r="C75">
        <f>INDEX(Pesos_Dimensiones!$B$2:$B$22,MATCH(B75,Pesos_Dimensiones!$A$2:$A$22,0))</f>
        <v/>
      </c>
      <c r="D75" t="inlineStr">
        <is>
          <t>Escenario/dilema — indicador 2 (Uso del tiempo laboral para actividades ajenas a las funciones asignad…)</t>
        </is>
      </c>
      <c r="E75" t="inlineStr">
        <is>
          <t>4-Escenario/dilema</t>
        </is>
      </c>
      <c r="F75" t="n">
        <v>0</v>
      </c>
      <c r="G75" t="n">
        <v>3</v>
      </c>
      <c r="H75" t="inlineStr">
        <is>
          <t>Directo</t>
        </is>
      </c>
      <c r="I75" t="n">
        <v>0</v>
      </c>
      <c r="J75">
        <f>IF(H75="Inverso",G75-I75,I75)</f>
        <v/>
      </c>
      <c r="K75">
        <f>IFERROR(J75/G75,0)</f>
        <v/>
      </c>
      <c r="L75" t="inlineStr">
        <is>
          <t>R073</t>
        </is>
      </c>
      <c r="M75" t="inlineStr">
        <is>
          <t>Si</t>
        </is>
      </c>
      <c r="N75">
        <f>INDEX(Pesos_Dimensiones!$C$2:$C$22,MATCH(B75,Pesos_Dimensiones!$A$2:$A$22,0))</f>
        <v/>
      </c>
      <c r="O75">
        <f>1/COUNTIF($B$2:$B$211,B75)</f>
        <v/>
      </c>
      <c r="P75">
        <f>IF(OR(C75="Base",C75="Adicional"),N75*O75,0)</f>
        <v/>
      </c>
      <c r="Q75">
        <f>K75*P75</f>
        <v/>
      </c>
    </row>
    <row r="76">
      <c r="A76" t="inlineStr">
        <is>
          <t>R075</t>
        </is>
      </c>
      <c r="B76" t="inlineStr">
        <is>
          <t>Abuso de Recursos</t>
        </is>
      </c>
      <c r="C76">
        <f>INDEX(Pesos_Dimensiones!$B$2:$B$22,MATCH(B76,Pesos_Dimensiones!$A$2:$A$22,0))</f>
        <v/>
      </c>
      <c r="D76" t="inlineStr">
        <is>
          <t>Percepción de terceros — indicador 3 (Justificación del uso indebido como "algo que todos hacen".)</t>
        </is>
      </c>
      <c r="E76" t="inlineStr">
        <is>
          <t>2-Percepción de terceros</t>
        </is>
      </c>
      <c r="F76" t="n">
        <v>0</v>
      </c>
      <c r="G76" t="n">
        <v>3</v>
      </c>
      <c r="H76" t="inlineStr">
        <is>
          <t>Directo</t>
        </is>
      </c>
      <c r="I76" t="n">
        <v>0</v>
      </c>
      <c r="J76">
        <f>IF(H76="Inverso",G76-I76,I76)</f>
        <v/>
      </c>
      <c r="K76">
        <f>IFERROR(J76/G76,0)</f>
        <v/>
      </c>
      <c r="L76" t="inlineStr">
        <is>
          <t>R076</t>
        </is>
      </c>
      <c r="M76" t="inlineStr">
        <is>
          <t>Si</t>
        </is>
      </c>
      <c r="N76">
        <f>INDEX(Pesos_Dimensiones!$C$2:$C$22,MATCH(B76,Pesos_Dimensiones!$A$2:$A$22,0))</f>
        <v/>
      </c>
      <c r="O76">
        <f>1/COUNTIF($B$2:$B$211,B76)</f>
        <v/>
      </c>
      <c r="P76">
        <f>IF(OR(C76="Base",C76="Adicional"),N76*O76,0)</f>
        <v/>
      </c>
      <c r="Q76">
        <f>K76*P76</f>
        <v/>
      </c>
    </row>
    <row r="77">
      <c r="A77" t="inlineStr">
        <is>
          <t>R076</t>
        </is>
      </c>
      <c r="B77" t="inlineStr">
        <is>
          <t>Abuso de Recursos</t>
        </is>
      </c>
      <c r="C77">
        <f>INDEX(Pesos_Dimensiones!$B$2:$B$22,MATCH(B77,Pesos_Dimensiones!$A$2:$A$22,0))</f>
        <v/>
      </c>
      <c r="D77" t="inlineStr">
        <is>
          <t>Opinión/Actitud — indicador 3 (Justificación del uso indebido como "algo que todos hacen".)</t>
        </is>
      </c>
      <c r="E77" t="inlineStr">
        <is>
          <t>1-Opinión/Actitud</t>
        </is>
      </c>
      <c r="F77" t="n">
        <v>0</v>
      </c>
      <c r="G77" t="n">
        <v>4</v>
      </c>
      <c r="H77" t="inlineStr">
        <is>
          <t>Directo</t>
        </is>
      </c>
      <c r="I77" t="n">
        <v>0</v>
      </c>
      <c r="J77">
        <f>IF(H77="Inverso",G77-I77,I77)</f>
        <v/>
      </c>
      <c r="K77">
        <f>IFERROR(J77/G77,0)</f>
        <v/>
      </c>
      <c r="L77" t="inlineStr">
        <is>
          <t>R075</t>
        </is>
      </c>
      <c r="M77" t="inlineStr">
        <is>
          <t>Si</t>
        </is>
      </c>
      <c r="N77">
        <f>INDEX(Pesos_Dimensiones!$C$2:$C$22,MATCH(B77,Pesos_Dimensiones!$A$2:$A$22,0))</f>
        <v/>
      </c>
      <c r="O77">
        <f>1/COUNTIF($B$2:$B$211,B77)</f>
        <v/>
      </c>
      <c r="P77">
        <f>IF(OR(C77="Base",C77="Adicional"),N77*O77,0)</f>
        <v/>
      </c>
      <c r="Q77">
        <f>K77*P77</f>
        <v/>
      </c>
    </row>
    <row r="78">
      <c r="A78" t="inlineStr">
        <is>
          <t>R077</t>
        </is>
      </c>
      <c r="B78" t="inlineStr">
        <is>
          <t>Abuso de Recursos</t>
        </is>
      </c>
      <c r="C78">
        <f>INDEX(Pesos_Dimensiones!$B$2:$B$22,MATCH(B78,Pesos_Dimensiones!$A$2:$A$22,0))</f>
        <v/>
      </c>
      <c r="D78" t="inlineStr">
        <is>
          <t>Involucramiento pasado — indicador 4 (Disposición a usar contactos o recursos institucionales para beneficio…)</t>
        </is>
      </c>
      <c r="E78" t="inlineStr">
        <is>
          <t>3-Involucramiento pasado</t>
        </is>
      </c>
      <c r="F78" t="n">
        <v>0</v>
      </c>
      <c r="G78" t="n">
        <v>4</v>
      </c>
      <c r="H78" t="inlineStr">
        <is>
          <t>Directo</t>
        </is>
      </c>
      <c r="I78" t="n">
        <v>0</v>
      </c>
      <c r="J78">
        <f>IF(H78="Inverso",G78-I78,I78)</f>
        <v/>
      </c>
      <c r="K78">
        <f>IFERROR(J78/G78,0)</f>
        <v/>
      </c>
      <c r="L78" t="inlineStr">
        <is>
          <t>R078</t>
        </is>
      </c>
      <c r="M78" t="inlineStr">
        <is>
          <t>Si</t>
        </is>
      </c>
      <c r="N78">
        <f>INDEX(Pesos_Dimensiones!$C$2:$C$22,MATCH(B78,Pesos_Dimensiones!$A$2:$A$22,0))</f>
        <v/>
      </c>
      <c r="O78">
        <f>1/COUNTIF($B$2:$B$211,B78)</f>
        <v/>
      </c>
      <c r="P78">
        <f>IF(OR(C78="Base",C78="Adicional"),N78*O78,0)</f>
        <v/>
      </c>
      <c r="Q78">
        <f>K78*P78</f>
        <v/>
      </c>
    </row>
    <row r="79">
      <c r="A79" t="inlineStr">
        <is>
          <t>R078</t>
        </is>
      </c>
      <c r="B79" t="inlineStr">
        <is>
          <t>Abuso de Recursos</t>
        </is>
      </c>
      <c r="C79">
        <f>INDEX(Pesos_Dimensiones!$B$2:$B$22,MATCH(B79,Pesos_Dimensiones!$A$2:$A$22,0))</f>
        <v/>
      </c>
      <c r="D79" t="inlineStr">
        <is>
          <t>Intención futura — indicador 4 (Disposición a usar contactos o recursos institucionales para beneficio…)</t>
        </is>
      </c>
      <c r="E79" t="inlineStr">
        <is>
          <t>6-Intención futura</t>
        </is>
      </c>
      <c r="F79" t="n">
        <v>0</v>
      </c>
      <c r="G79" t="n">
        <v>4</v>
      </c>
      <c r="H79" t="inlineStr">
        <is>
          <t>Inverso</t>
        </is>
      </c>
      <c r="I79" t="n">
        <v>0</v>
      </c>
      <c r="J79">
        <f>IF(H79="Inverso",G79-I79,I79)</f>
        <v/>
      </c>
      <c r="K79">
        <f>IFERROR(J79/G79,0)</f>
        <v/>
      </c>
      <c r="L79" t="inlineStr">
        <is>
          <t>R077</t>
        </is>
      </c>
      <c r="M79" t="inlineStr">
        <is>
          <t>Si</t>
        </is>
      </c>
      <c r="N79">
        <f>INDEX(Pesos_Dimensiones!$C$2:$C$22,MATCH(B79,Pesos_Dimensiones!$A$2:$A$22,0))</f>
        <v/>
      </c>
      <c r="O79">
        <f>1/COUNTIF($B$2:$B$211,B79)</f>
        <v/>
      </c>
      <c r="P79">
        <f>IF(OR(C79="Base",C79="Adicional"),N79*O79,0)</f>
        <v/>
      </c>
      <c r="Q79">
        <f>K79*P79</f>
        <v/>
      </c>
    </row>
    <row r="80">
      <c r="A80" t="inlineStr">
        <is>
          <t>R079</t>
        </is>
      </c>
      <c r="B80" t="inlineStr">
        <is>
          <t>Abuso de Recursos</t>
        </is>
      </c>
      <c r="C80">
        <f>INDEX(Pesos_Dimensiones!$B$2:$B$22,MATCH(B80,Pesos_Dimensiones!$A$2:$A$22,0))</f>
        <v/>
      </c>
      <c r="D80" t="inlineStr">
        <is>
          <t>Escenario/dilema — indicador 1 (Uso de equipos o materiales organizacionales para asuntos personales.)</t>
        </is>
      </c>
      <c r="E80" t="inlineStr">
        <is>
          <t>4-Escenario/dilema</t>
        </is>
      </c>
      <c r="F80" t="n">
        <v>0</v>
      </c>
      <c r="G80" t="n">
        <v>3</v>
      </c>
      <c r="H80" t="inlineStr">
        <is>
          <t>Directo</t>
        </is>
      </c>
      <c r="I80" t="n">
        <v>0</v>
      </c>
      <c r="J80">
        <f>IF(H80="Inverso",G80-I80,I80)</f>
        <v/>
      </c>
      <c r="K80">
        <f>IFERROR(J80/G80,0)</f>
        <v/>
      </c>
      <c r="L80" t="inlineStr">
        <is>
          <t>R080</t>
        </is>
      </c>
      <c r="M80" t="inlineStr">
        <is>
          <t>Si</t>
        </is>
      </c>
      <c r="N80">
        <f>INDEX(Pesos_Dimensiones!$C$2:$C$22,MATCH(B80,Pesos_Dimensiones!$A$2:$A$22,0))</f>
        <v/>
      </c>
      <c r="O80">
        <f>1/COUNTIF($B$2:$B$211,B80)</f>
        <v/>
      </c>
      <c r="P80">
        <f>IF(OR(C80="Base",C80="Adicional"),N80*O80,0)</f>
        <v/>
      </c>
      <c r="Q80">
        <f>K80*P80</f>
        <v/>
      </c>
    </row>
    <row r="81">
      <c r="A81" t="inlineStr">
        <is>
          <t>R080</t>
        </is>
      </c>
      <c r="B81" t="inlineStr">
        <is>
          <t>Abuso de Recursos</t>
        </is>
      </c>
      <c r="C81">
        <f>INDEX(Pesos_Dimensiones!$B$2:$B$22,MATCH(B81,Pesos_Dimensiones!$A$2:$A$22,0))</f>
        <v/>
      </c>
      <c r="D81" t="inlineStr">
        <is>
          <t>Percepción de terceros — indicador 1 (Uso de equipos o materiales organizacionales para asuntos personales.)</t>
        </is>
      </c>
      <c r="E81" t="inlineStr">
        <is>
          <t>2-Percepción de terceros</t>
        </is>
      </c>
      <c r="F81" t="n">
        <v>0</v>
      </c>
      <c r="G81" t="n">
        <v>3</v>
      </c>
      <c r="H81" t="inlineStr">
        <is>
          <t>Directo</t>
        </is>
      </c>
      <c r="I81" t="n">
        <v>0</v>
      </c>
      <c r="J81">
        <f>IF(H81="Inverso",G81-I81,I81)</f>
        <v/>
      </c>
      <c r="K81">
        <f>IFERROR(J81/G81,0)</f>
        <v/>
      </c>
      <c r="L81" t="inlineStr">
        <is>
          <t>R079</t>
        </is>
      </c>
      <c r="M81" t="inlineStr">
        <is>
          <t>Si</t>
        </is>
      </c>
      <c r="N81">
        <f>INDEX(Pesos_Dimensiones!$C$2:$C$22,MATCH(B81,Pesos_Dimensiones!$A$2:$A$22,0))</f>
        <v/>
      </c>
      <c r="O81">
        <f>1/COUNTIF($B$2:$B$211,B81)</f>
        <v/>
      </c>
      <c r="P81">
        <f>IF(OR(C81="Base",C81="Adicional"),N81*O81,0)</f>
        <v/>
      </c>
      <c r="Q81">
        <f>K81*P81</f>
        <v/>
      </c>
    </row>
    <row r="82">
      <c r="A82" t="inlineStr">
        <is>
          <t>R081</t>
        </is>
      </c>
      <c r="B82" t="inlineStr">
        <is>
          <t>Acoso Sexual</t>
        </is>
      </c>
      <c r="C82">
        <f>INDEX(Pesos_Dimensiones!$B$2:$B$22,MATCH(B82,Pesos_Dimensiones!$A$2:$A$22,0))</f>
        <v/>
      </c>
      <c r="D82" t="inlineStr">
        <is>
          <t>Opinión/Actitud — indicador 1 (Tolerancia hacia comentarios o insinuaciones sexuales no deseadas en e…)</t>
        </is>
      </c>
      <c r="E82" t="inlineStr">
        <is>
          <t>1-Opinión/Actitud</t>
        </is>
      </c>
      <c r="F82" t="n">
        <v>0</v>
      </c>
      <c r="G82" t="n">
        <v>4</v>
      </c>
      <c r="H82" t="inlineStr">
        <is>
          <t>Directo</t>
        </is>
      </c>
      <c r="I82" t="n">
        <v>0</v>
      </c>
      <c r="J82">
        <f>IF(H82="Inverso",G82-I82,I82)</f>
        <v/>
      </c>
      <c r="K82">
        <f>IFERROR(J82/G82,0)</f>
        <v/>
      </c>
      <c r="L82" t="inlineStr">
        <is>
          <t>R082</t>
        </is>
      </c>
      <c r="M82" t="inlineStr">
        <is>
          <t>Si</t>
        </is>
      </c>
      <c r="N82">
        <f>INDEX(Pesos_Dimensiones!$C$2:$C$22,MATCH(B82,Pesos_Dimensiones!$A$2:$A$22,0))</f>
        <v/>
      </c>
      <c r="O82">
        <f>1/COUNTIF($B$2:$B$211,B82)</f>
        <v/>
      </c>
      <c r="P82">
        <f>IF(OR(C82="Base",C82="Adicional"),N82*O82,0)</f>
        <v/>
      </c>
      <c r="Q82">
        <f>K82*P82</f>
        <v/>
      </c>
    </row>
    <row r="83">
      <c r="A83" t="inlineStr">
        <is>
          <t>R082</t>
        </is>
      </c>
      <c r="B83" t="inlineStr">
        <is>
          <t>Acoso Sexual</t>
        </is>
      </c>
      <c r="C83">
        <f>INDEX(Pesos_Dimensiones!$B$2:$B$22,MATCH(B83,Pesos_Dimensiones!$A$2:$A$22,0))</f>
        <v/>
      </c>
      <c r="D83" t="inlineStr">
        <is>
          <t>Intención futura — indicador 1 (Tolerancia hacia comentarios o insinuaciones sexuales no deseadas en e…)</t>
        </is>
      </c>
      <c r="E83" t="inlineStr">
        <is>
          <t>6-Intención futura</t>
        </is>
      </c>
      <c r="F83" t="n">
        <v>0</v>
      </c>
      <c r="G83" t="n">
        <v>4</v>
      </c>
      <c r="H83" t="inlineStr">
        <is>
          <t>Inverso</t>
        </is>
      </c>
      <c r="I83" t="n">
        <v>0</v>
      </c>
      <c r="J83">
        <f>IF(H83="Inverso",G83-I83,I83)</f>
        <v/>
      </c>
      <c r="K83">
        <f>IFERROR(J83/G83,0)</f>
        <v/>
      </c>
      <c r="L83" t="inlineStr">
        <is>
          <t>R081</t>
        </is>
      </c>
      <c r="M83" t="inlineStr">
        <is>
          <t>Si</t>
        </is>
      </c>
      <c r="N83">
        <f>INDEX(Pesos_Dimensiones!$C$2:$C$22,MATCH(B83,Pesos_Dimensiones!$A$2:$A$22,0))</f>
        <v/>
      </c>
      <c r="O83">
        <f>1/COUNTIF($B$2:$B$211,B83)</f>
        <v/>
      </c>
      <c r="P83">
        <f>IF(OR(C83="Base",C83="Adicional"),N83*O83,0)</f>
        <v/>
      </c>
      <c r="Q83">
        <f>K83*P83</f>
        <v/>
      </c>
    </row>
    <row r="84">
      <c r="A84" t="inlineStr">
        <is>
          <t>R083</t>
        </is>
      </c>
      <c r="B84" t="inlineStr">
        <is>
          <t>Acoso Sexual</t>
        </is>
      </c>
      <c r="C84">
        <f>INDEX(Pesos_Dimensiones!$B$2:$B$22,MATCH(B84,Pesos_Dimensiones!$A$2:$A$22,0))</f>
        <v/>
      </c>
      <c r="D84" t="inlineStr">
        <is>
          <t>Involucramiento pasado — indicador 2 (Minimización declarada de la gravedad de conductas de naturaleza sexua…)</t>
        </is>
      </c>
      <c r="E84" t="inlineStr">
        <is>
          <t>3-Involucramiento pasado</t>
        </is>
      </c>
      <c r="F84" t="n">
        <v>0</v>
      </c>
      <c r="G84" t="n">
        <v>4</v>
      </c>
      <c r="H84" t="inlineStr">
        <is>
          <t>Directo</t>
        </is>
      </c>
      <c r="I84" t="n">
        <v>0</v>
      </c>
      <c r="J84">
        <f>IF(H84="Inverso",G84-I84,I84)</f>
        <v/>
      </c>
      <c r="K84">
        <f>IFERROR(J84/G84,0)</f>
        <v/>
      </c>
      <c r="L84" t="inlineStr">
        <is>
          <t>R084</t>
        </is>
      </c>
      <c r="M84" t="inlineStr">
        <is>
          <t>Si</t>
        </is>
      </c>
      <c r="N84">
        <f>INDEX(Pesos_Dimensiones!$C$2:$C$22,MATCH(B84,Pesos_Dimensiones!$A$2:$A$22,0))</f>
        <v/>
      </c>
      <c r="O84">
        <f>1/COUNTIF($B$2:$B$211,B84)</f>
        <v/>
      </c>
      <c r="P84">
        <f>IF(OR(C84="Base",C84="Adicional"),N84*O84,0)</f>
        <v/>
      </c>
      <c r="Q84">
        <f>K84*P84</f>
        <v/>
      </c>
    </row>
    <row r="85">
      <c r="A85" t="inlineStr">
        <is>
          <t>R084</t>
        </is>
      </c>
      <c r="B85" t="inlineStr">
        <is>
          <t>Acoso Sexual</t>
        </is>
      </c>
      <c r="C85">
        <f>INDEX(Pesos_Dimensiones!$B$2:$B$22,MATCH(B85,Pesos_Dimensiones!$A$2:$A$22,0))</f>
        <v/>
      </c>
      <c r="D85" t="inlineStr">
        <is>
          <t>Escenario/dilema — indicador 2 (Minimización declarada de la gravedad de conductas de naturaleza sexua…)</t>
        </is>
      </c>
      <c r="E85" t="inlineStr">
        <is>
          <t>4-Escenario/dilema</t>
        </is>
      </c>
      <c r="F85" t="n">
        <v>0</v>
      </c>
      <c r="G85" t="n">
        <v>3</v>
      </c>
      <c r="H85" t="inlineStr">
        <is>
          <t>Directo</t>
        </is>
      </c>
      <c r="I85" t="n">
        <v>0</v>
      </c>
      <c r="J85">
        <f>IF(H85="Inverso",G85-I85,I85)</f>
        <v/>
      </c>
      <c r="K85">
        <f>IFERROR(J85/G85,0)</f>
        <v/>
      </c>
      <c r="L85" t="inlineStr">
        <is>
          <t>R083</t>
        </is>
      </c>
      <c r="M85" t="inlineStr">
        <is>
          <t>Si</t>
        </is>
      </c>
      <c r="N85">
        <f>INDEX(Pesos_Dimensiones!$C$2:$C$22,MATCH(B85,Pesos_Dimensiones!$A$2:$A$22,0))</f>
        <v/>
      </c>
      <c r="O85">
        <f>1/COUNTIF($B$2:$B$211,B85)</f>
        <v/>
      </c>
      <c r="P85">
        <f>IF(OR(C85="Base",C85="Adicional"),N85*O85,0)</f>
        <v/>
      </c>
      <c r="Q85">
        <f>K85*P85</f>
        <v/>
      </c>
    </row>
    <row r="86">
      <c r="A86" t="inlineStr">
        <is>
          <t>R085</t>
        </is>
      </c>
      <c r="B86" t="inlineStr">
        <is>
          <t>Acoso Sexual</t>
        </is>
      </c>
      <c r="C86">
        <f>INDEX(Pesos_Dimensiones!$B$2:$B$22,MATCH(B86,Pesos_Dimensiones!$A$2:$A$22,0))</f>
        <v/>
      </c>
      <c r="D86" t="inlineStr">
        <is>
          <t>Percepción de terceros — indicador 3 (Disposición a condicionar decisiones a cambio de favores de naturaleza…)</t>
        </is>
      </c>
      <c r="E86" t="inlineStr">
        <is>
          <t>2-Percepción de terceros</t>
        </is>
      </c>
      <c r="F86" t="n">
        <v>0</v>
      </c>
      <c r="G86" t="n">
        <v>3</v>
      </c>
      <c r="H86" t="inlineStr">
        <is>
          <t>Directo</t>
        </is>
      </c>
      <c r="I86" t="n">
        <v>0</v>
      </c>
      <c r="J86">
        <f>IF(H86="Inverso",G86-I86,I86)</f>
        <v/>
      </c>
      <c r="K86">
        <f>IFERROR(J86/G86,0)</f>
        <v/>
      </c>
      <c r="L86" t="inlineStr">
        <is>
          <t>R086</t>
        </is>
      </c>
      <c r="M86" t="inlineStr">
        <is>
          <t>Si</t>
        </is>
      </c>
      <c r="N86">
        <f>INDEX(Pesos_Dimensiones!$C$2:$C$22,MATCH(B86,Pesos_Dimensiones!$A$2:$A$22,0))</f>
        <v/>
      </c>
      <c r="O86">
        <f>1/COUNTIF($B$2:$B$211,B86)</f>
        <v/>
      </c>
      <c r="P86">
        <f>IF(OR(C86="Base",C86="Adicional"),N86*O86,0)</f>
        <v/>
      </c>
      <c r="Q86">
        <f>K86*P86</f>
        <v/>
      </c>
    </row>
    <row r="87">
      <c r="A87" t="inlineStr">
        <is>
          <t>R086</t>
        </is>
      </c>
      <c r="B87" t="inlineStr">
        <is>
          <t>Acoso Sexual</t>
        </is>
      </c>
      <c r="C87">
        <f>INDEX(Pesos_Dimensiones!$B$2:$B$22,MATCH(B87,Pesos_Dimensiones!$A$2:$A$22,0))</f>
        <v/>
      </c>
      <c r="D87" t="inlineStr">
        <is>
          <t>Opinión/Actitud — indicador 3 (Disposición a condicionar decisiones a cambio de favores de naturaleza…)</t>
        </is>
      </c>
      <c r="E87" t="inlineStr">
        <is>
          <t>1-Opinión/Actitud</t>
        </is>
      </c>
      <c r="F87" t="n">
        <v>0</v>
      </c>
      <c r="G87" t="n">
        <v>4</v>
      </c>
      <c r="H87" t="inlineStr">
        <is>
          <t>Directo</t>
        </is>
      </c>
      <c r="I87" t="n">
        <v>0</v>
      </c>
      <c r="J87">
        <f>IF(H87="Inverso",G87-I87,I87)</f>
        <v/>
      </c>
      <c r="K87">
        <f>IFERROR(J87/G87,0)</f>
        <v/>
      </c>
      <c r="L87" t="inlineStr">
        <is>
          <t>R085</t>
        </is>
      </c>
      <c r="M87" t="inlineStr">
        <is>
          <t>Si</t>
        </is>
      </c>
      <c r="N87">
        <f>INDEX(Pesos_Dimensiones!$C$2:$C$22,MATCH(B87,Pesos_Dimensiones!$A$2:$A$22,0))</f>
        <v/>
      </c>
      <c r="O87">
        <f>1/COUNTIF($B$2:$B$211,B87)</f>
        <v/>
      </c>
      <c r="P87">
        <f>IF(OR(C87="Base",C87="Adicional"),N87*O87,0)</f>
        <v/>
      </c>
      <c r="Q87">
        <f>K87*P87</f>
        <v/>
      </c>
    </row>
    <row r="88">
      <c r="A88" t="inlineStr">
        <is>
          <t>R087</t>
        </is>
      </c>
      <c r="B88" t="inlineStr">
        <is>
          <t>Acoso Sexual</t>
        </is>
      </c>
      <c r="C88">
        <f>INDEX(Pesos_Dimensiones!$B$2:$B$22,MATCH(B88,Pesos_Dimensiones!$A$2:$A$22,0))</f>
        <v/>
      </c>
      <c r="D88" t="inlineStr">
        <is>
          <t>Involucramiento pasado — indicador 4 (Percepción de baja consecuencia asociada a este tipo de conductas.)</t>
        </is>
      </c>
      <c r="E88" t="inlineStr">
        <is>
          <t>3-Involucramiento pasado</t>
        </is>
      </c>
      <c r="F88" t="n">
        <v>0</v>
      </c>
      <c r="G88" t="n">
        <v>4</v>
      </c>
      <c r="H88" t="inlineStr">
        <is>
          <t>Directo</t>
        </is>
      </c>
      <c r="I88" t="n">
        <v>0</v>
      </c>
      <c r="J88">
        <f>IF(H88="Inverso",G88-I88,I88)</f>
        <v/>
      </c>
      <c r="K88">
        <f>IFERROR(J88/G88,0)</f>
        <v/>
      </c>
      <c r="L88" t="inlineStr">
        <is>
          <t>R088</t>
        </is>
      </c>
      <c r="M88" t="inlineStr">
        <is>
          <t>Si</t>
        </is>
      </c>
      <c r="N88">
        <f>INDEX(Pesos_Dimensiones!$C$2:$C$22,MATCH(B88,Pesos_Dimensiones!$A$2:$A$22,0))</f>
        <v/>
      </c>
      <c r="O88">
        <f>1/COUNTIF($B$2:$B$211,B88)</f>
        <v/>
      </c>
      <c r="P88">
        <f>IF(OR(C88="Base",C88="Adicional"),N88*O88,0)</f>
        <v/>
      </c>
      <c r="Q88">
        <f>K88*P88</f>
        <v/>
      </c>
    </row>
    <row r="89">
      <c r="A89" t="inlineStr">
        <is>
          <t>R088</t>
        </is>
      </c>
      <c r="B89" t="inlineStr">
        <is>
          <t>Acoso Sexual</t>
        </is>
      </c>
      <c r="C89">
        <f>INDEX(Pesos_Dimensiones!$B$2:$B$22,MATCH(B89,Pesos_Dimensiones!$A$2:$A$22,0))</f>
        <v/>
      </c>
      <c r="D89" t="inlineStr">
        <is>
          <t>Intención futura — indicador 4 (Percepción de baja consecuencia asociada a este tipo de conductas.)</t>
        </is>
      </c>
      <c r="E89" t="inlineStr">
        <is>
          <t>6-Intención futura</t>
        </is>
      </c>
      <c r="F89" t="n">
        <v>0</v>
      </c>
      <c r="G89" t="n">
        <v>4</v>
      </c>
      <c r="H89" t="inlineStr">
        <is>
          <t>Inverso</t>
        </is>
      </c>
      <c r="I89" t="n">
        <v>0</v>
      </c>
      <c r="J89">
        <f>IF(H89="Inverso",G89-I89,I89)</f>
        <v/>
      </c>
      <c r="K89">
        <f>IFERROR(J89/G89,0)</f>
        <v/>
      </c>
      <c r="L89" t="inlineStr">
        <is>
          <t>R087</t>
        </is>
      </c>
      <c r="M89" t="inlineStr">
        <is>
          <t>Si</t>
        </is>
      </c>
      <c r="N89">
        <f>INDEX(Pesos_Dimensiones!$C$2:$C$22,MATCH(B89,Pesos_Dimensiones!$A$2:$A$22,0))</f>
        <v/>
      </c>
      <c r="O89">
        <f>1/COUNTIF($B$2:$B$211,B89)</f>
        <v/>
      </c>
      <c r="P89">
        <f>IF(OR(C89="Base",C89="Adicional"),N89*O89,0)</f>
        <v/>
      </c>
      <c r="Q89">
        <f>K89*P89</f>
        <v/>
      </c>
    </row>
    <row r="90">
      <c r="A90" t="inlineStr">
        <is>
          <t>R089</t>
        </is>
      </c>
      <c r="B90" t="inlineStr">
        <is>
          <t>Acoso Sexual</t>
        </is>
      </c>
      <c r="C90">
        <f>INDEX(Pesos_Dimensiones!$B$2:$B$22,MATCH(B90,Pesos_Dimensiones!$A$2:$A$22,0))</f>
        <v/>
      </c>
      <c r="D90" t="inlineStr">
        <is>
          <t>Escenario/dilema — indicador 1 (Tolerancia hacia comentarios o insinuaciones sexuales no deseadas en e…)</t>
        </is>
      </c>
      <c r="E90" t="inlineStr">
        <is>
          <t>4-Escenario/dilema</t>
        </is>
      </c>
      <c r="F90" t="n">
        <v>0</v>
      </c>
      <c r="G90" t="n">
        <v>3</v>
      </c>
      <c r="H90" t="inlineStr">
        <is>
          <t>Directo</t>
        </is>
      </c>
      <c r="I90" t="n">
        <v>0</v>
      </c>
      <c r="J90">
        <f>IF(H90="Inverso",G90-I90,I90)</f>
        <v/>
      </c>
      <c r="K90">
        <f>IFERROR(J90/G90,0)</f>
        <v/>
      </c>
      <c r="L90" t="inlineStr">
        <is>
          <t>R090</t>
        </is>
      </c>
      <c r="M90" t="inlineStr">
        <is>
          <t>Si</t>
        </is>
      </c>
      <c r="N90">
        <f>INDEX(Pesos_Dimensiones!$C$2:$C$22,MATCH(B90,Pesos_Dimensiones!$A$2:$A$22,0))</f>
        <v/>
      </c>
      <c r="O90">
        <f>1/COUNTIF($B$2:$B$211,B90)</f>
        <v/>
      </c>
      <c r="P90">
        <f>IF(OR(C90="Base",C90="Adicional"),N90*O90,0)</f>
        <v/>
      </c>
      <c r="Q90">
        <f>K90*P90</f>
        <v/>
      </c>
    </row>
    <row r="91">
      <c r="A91" t="inlineStr">
        <is>
          <t>R090</t>
        </is>
      </c>
      <c r="B91" t="inlineStr">
        <is>
          <t>Acoso Sexual</t>
        </is>
      </c>
      <c r="C91">
        <f>INDEX(Pesos_Dimensiones!$B$2:$B$22,MATCH(B91,Pesos_Dimensiones!$A$2:$A$22,0))</f>
        <v/>
      </c>
      <c r="D91" t="inlineStr">
        <is>
          <t>Percepción de terceros — indicador 1 (Tolerancia hacia comentarios o insinuaciones sexuales no deseadas en e…)</t>
        </is>
      </c>
      <c r="E91" t="inlineStr">
        <is>
          <t>2-Percepción de terceros</t>
        </is>
      </c>
      <c r="F91" t="n">
        <v>0</v>
      </c>
      <c r="G91" t="n">
        <v>3</v>
      </c>
      <c r="H91" t="inlineStr">
        <is>
          <t>Directo</t>
        </is>
      </c>
      <c r="I91" t="n">
        <v>0</v>
      </c>
      <c r="J91">
        <f>IF(H91="Inverso",G91-I91,I91)</f>
        <v/>
      </c>
      <c r="K91">
        <f>IFERROR(J91/G91,0)</f>
        <v/>
      </c>
      <c r="L91" t="inlineStr">
        <is>
          <t>R089</t>
        </is>
      </c>
      <c r="M91" t="inlineStr">
        <is>
          <t>Si</t>
        </is>
      </c>
      <c r="N91">
        <f>INDEX(Pesos_Dimensiones!$C$2:$C$22,MATCH(B91,Pesos_Dimensiones!$A$2:$A$22,0))</f>
        <v/>
      </c>
      <c r="O91">
        <f>1/COUNTIF($B$2:$B$211,B91)</f>
        <v/>
      </c>
      <c r="P91">
        <f>IF(OR(C91="Base",C91="Adicional"),N91*O91,0)</f>
        <v/>
      </c>
      <c r="Q91">
        <f>K91*P91</f>
        <v/>
      </c>
    </row>
    <row r="92">
      <c r="A92" t="inlineStr">
        <is>
          <t>R091</t>
        </is>
      </c>
      <c r="B92" t="inlineStr">
        <is>
          <t>Maltrato Laboral</t>
        </is>
      </c>
      <c r="C92">
        <f>INDEX(Pesos_Dimensiones!$B$2:$B$22,MATCH(B92,Pesos_Dimensiones!$A$2:$A$22,0))</f>
        <v/>
      </c>
      <c r="D92" t="inlineStr">
        <is>
          <t>Opinión/Actitud — indicador 1 (Disposición a usar la autoridad para intimidar o humillar a subordinad…)</t>
        </is>
      </c>
      <c r="E92" t="inlineStr">
        <is>
          <t>1-Opinión/Actitud</t>
        </is>
      </c>
      <c r="F92" t="n">
        <v>0</v>
      </c>
      <c r="G92" t="n">
        <v>4</v>
      </c>
      <c r="H92" t="inlineStr">
        <is>
          <t>Directo</t>
        </is>
      </c>
      <c r="I92" t="n">
        <v>0</v>
      </c>
      <c r="J92">
        <f>IF(H92="Inverso",G92-I92,I92)</f>
        <v/>
      </c>
      <c r="K92">
        <f>IFERROR(J92/G92,0)</f>
        <v/>
      </c>
      <c r="L92" t="inlineStr">
        <is>
          <t>R092</t>
        </is>
      </c>
      <c r="M92" t="inlineStr">
        <is>
          <t>Si</t>
        </is>
      </c>
      <c r="N92">
        <f>INDEX(Pesos_Dimensiones!$C$2:$C$22,MATCH(B92,Pesos_Dimensiones!$A$2:$A$22,0))</f>
        <v/>
      </c>
      <c r="O92">
        <f>1/COUNTIF($B$2:$B$211,B92)</f>
        <v/>
      </c>
      <c r="P92">
        <f>IF(OR(C92="Base",C92="Adicional"),N92*O92,0)</f>
        <v/>
      </c>
      <c r="Q92">
        <f>K92*P92</f>
        <v/>
      </c>
    </row>
    <row r="93">
      <c r="A93" t="inlineStr">
        <is>
          <t>R092</t>
        </is>
      </c>
      <c r="B93" t="inlineStr">
        <is>
          <t>Maltrato Laboral</t>
        </is>
      </c>
      <c r="C93">
        <f>INDEX(Pesos_Dimensiones!$B$2:$B$22,MATCH(B93,Pesos_Dimensiones!$A$2:$A$22,0))</f>
        <v/>
      </c>
      <c r="D93" t="inlineStr">
        <is>
          <t>Intención futura — indicador 1 (Disposición a usar la autoridad para intimidar o humillar a subordinad…)</t>
        </is>
      </c>
      <c r="E93" t="inlineStr">
        <is>
          <t>6-Intención futura</t>
        </is>
      </c>
      <c r="F93" t="n">
        <v>0</v>
      </c>
      <c r="G93" t="n">
        <v>4</v>
      </c>
      <c r="H93" t="inlineStr">
        <is>
          <t>Inverso</t>
        </is>
      </c>
      <c r="I93" t="n">
        <v>0</v>
      </c>
      <c r="J93">
        <f>IF(H93="Inverso",G93-I93,I93)</f>
        <v/>
      </c>
      <c r="K93">
        <f>IFERROR(J93/G93,0)</f>
        <v/>
      </c>
      <c r="L93" t="inlineStr">
        <is>
          <t>R091</t>
        </is>
      </c>
      <c r="M93" t="inlineStr">
        <is>
          <t>Si</t>
        </is>
      </c>
      <c r="N93">
        <f>INDEX(Pesos_Dimensiones!$C$2:$C$22,MATCH(B93,Pesos_Dimensiones!$A$2:$A$22,0))</f>
        <v/>
      </c>
      <c r="O93">
        <f>1/COUNTIF($B$2:$B$211,B93)</f>
        <v/>
      </c>
      <c r="P93">
        <f>IF(OR(C93="Base",C93="Adicional"),N93*O93,0)</f>
        <v/>
      </c>
      <c r="Q93">
        <f>K93*P93</f>
        <v/>
      </c>
    </row>
    <row r="94">
      <c r="A94" t="inlineStr">
        <is>
          <t>R093</t>
        </is>
      </c>
      <c r="B94" t="inlineStr">
        <is>
          <t>Maltrato Laboral</t>
        </is>
      </c>
      <c r="C94">
        <f>INDEX(Pesos_Dimensiones!$B$2:$B$22,MATCH(B94,Pesos_Dimensiones!$A$2:$A$22,0))</f>
        <v/>
      </c>
      <c r="D94" t="inlineStr">
        <is>
          <t>Involucramiento pasado — indicador 2 (Tolerancia hacia el trato degradante como método de gestión.)</t>
        </is>
      </c>
      <c r="E94" t="inlineStr">
        <is>
          <t>3-Involucramiento pasado</t>
        </is>
      </c>
      <c r="F94" t="n">
        <v>0</v>
      </c>
      <c r="G94" t="n">
        <v>4</v>
      </c>
      <c r="H94" t="inlineStr">
        <is>
          <t>Directo</t>
        </is>
      </c>
      <c r="I94" t="n">
        <v>0</v>
      </c>
      <c r="J94">
        <f>IF(H94="Inverso",G94-I94,I94)</f>
        <v/>
      </c>
      <c r="K94">
        <f>IFERROR(J94/G94,0)</f>
        <v/>
      </c>
      <c r="L94" t="inlineStr">
        <is>
          <t>R094</t>
        </is>
      </c>
      <c r="M94" t="inlineStr">
        <is>
          <t>Si</t>
        </is>
      </c>
      <c r="N94">
        <f>INDEX(Pesos_Dimensiones!$C$2:$C$22,MATCH(B94,Pesos_Dimensiones!$A$2:$A$22,0))</f>
        <v/>
      </c>
      <c r="O94">
        <f>1/COUNTIF($B$2:$B$211,B94)</f>
        <v/>
      </c>
      <c r="P94">
        <f>IF(OR(C94="Base",C94="Adicional"),N94*O94,0)</f>
        <v/>
      </c>
      <c r="Q94">
        <f>K94*P94</f>
        <v/>
      </c>
    </row>
    <row r="95">
      <c r="A95" t="inlineStr">
        <is>
          <t>R094</t>
        </is>
      </c>
      <c r="B95" t="inlineStr">
        <is>
          <t>Maltrato Laboral</t>
        </is>
      </c>
      <c r="C95">
        <f>INDEX(Pesos_Dimensiones!$B$2:$B$22,MATCH(B95,Pesos_Dimensiones!$A$2:$A$22,0))</f>
        <v/>
      </c>
      <c r="D95" t="inlineStr">
        <is>
          <t>Escenario/dilema — indicador 2 (Tolerancia hacia el trato degradante como método de gestión.)</t>
        </is>
      </c>
      <c r="E95" t="inlineStr">
        <is>
          <t>4-Escenario/dilema</t>
        </is>
      </c>
      <c r="F95" t="n">
        <v>0</v>
      </c>
      <c r="G95" t="n">
        <v>3</v>
      </c>
      <c r="H95" t="inlineStr">
        <is>
          <t>Directo</t>
        </is>
      </c>
      <c r="I95" t="n">
        <v>0</v>
      </c>
      <c r="J95">
        <f>IF(H95="Inverso",G95-I95,I95)</f>
        <v/>
      </c>
      <c r="K95">
        <f>IFERROR(J95/G95,0)</f>
        <v/>
      </c>
      <c r="L95" t="inlineStr">
        <is>
          <t>R093</t>
        </is>
      </c>
      <c r="M95" t="inlineStr">
        <is>
          <t>Si</t>
        </is>
      </c>
      <c r="N95">
        <f>INDEX(Pesos_Dimensiones!$C$2:$C$22,MATCH(B95,Pesos_Dimensiones!$A$2:$A$22,0))</f>
        <v/>
      </c>
      <c r="O95">
        <f>1/COUNTIF($B$2:$B$211,B95)</f>
        <v/>
      </c>
      <c r="P95">
        <f>IF(OR(C95="Base",C95="Adicional"),N95*O95,0)</f>
        <v/>
      </c>
      <c r="Q95">
        <f>K95*P95</f>
        <v/>
      </c>
    </row>
    <row r="96">
      <c r="A96" t="inlineStr">
        <is>
          <t>R095</t>
        </is>
      </c>
      <c r="B96" t="inlineStr">
        <is>
          <t>Maltrato Laboral</t>
        </is>
      </c>
      <c r="C96">
        <f>INDEX(Pesos_Dimensiones!$B$2:$B$22,MATCH(B96,Pesos_Dimensiones!$A$2:$A$22,0))</f>
        <v/>
      </c>
      <c r="D96" t="inlineStr">
        <is>
          <t>Percepción de terceros — indicador 3 (Justificación del hostigamiento como una forma válida de "exigir resul…)</t>
        </is>
      </c>
      <c r="E96" t="inlineStr">
        <is>
          <t>2-Percepción de terceros</t>
        </is>
      </c>
      <c r="F96" t="n">
        <v>0</v>
      </c>
      <c r="G96" t="n">
        <v>3</v>
      </c>
      <c r="H96" t="inlineStr">
        <is>
          <t>Directo</t>
        </is>
      </c>
      <c r="I96" t="n">
        <v>0</v>
      </c>
      <c r="J96">
        <f>IF(H96="Inverso",G96-I96,I96)</f>
        <v/>
      </c>
      <c r="K96">
        <f>IFERROR(J96/G96,0)</f>
        <v/>
      </c>
      <c r="L96" t="inlineStr">
        <is>
          <t>R096</t>
        </is>
      </c>
      <c r="M96" t="inlineStr">
        <is>
          <t>Si</t>
        </is>
      </c>
      <c r="N96">
        <f>INDEX(Pesos_Dimensiones!$C$2:$C$22,MATCH(B96,Pesos_Dimensiones!$A$2:$A$22,0))</f>
        <v/>
      </c>
      <c r="O96">
        <f>1/COUNTIF($B$2:$B$211,B96)</f>
        <v/>
      </c>
      <c r="P96">
        <f>IF(OR(C96="Base",C96="Adicional"),N96*O96,0)</f>
        <v/>
      </c>
      <c r="Q96">
        <f>K96*P96</f>
        <v/>
      </c>
    </row>
    <row r="97">
      <c r="A97" t="inlineStr">
        <is>
          <t>R096</t>
        </is>
      </c>
      <c r="B97" t="inlineStr">
        <is>
          <t>Maltrato Laboral</t>
        </is>
      </c>
      <c r="C97">
        <f>INDEX(Pesos_Dimensiones!$B$2:$B$22,MATCH(B97,Pesos_Dimensiones!$A$2:$A$22,0))</f>
        <v/>
      </c>
      <c r="D97" t="inlineStr">
        <is>
          <t>Opinión/Actitud — indicador 3 (Justificación del hostigamiento como una forma válida de "exigir resul…)</t>
        </is>
      </c>
      <c r="E97" t="inlineStr">
        <is>
          <t>1-Opinión/Actitud</t>
        </is>
      </c>
      <c r="F97" t="n">
        <v>0</v>
      </c>
      <c r="G97" t="n">
        <v>4</v>
      </c>
      <c r="H97" t="inlineStr">
        <is>
          <t>Directo</t>
        </is>
      </c>
      <c r="I97" t="n">
        <v>0</v>
      </c>
      <c r="J97">
        <f>IF(H97="Inverso",G97-I97,I97)</f>
        <v/>
      </c>
      <c r="K97">
        <f>IFERROR(J97/G97,0)</f>
        <v/>
      </c>
      <c r="L97" t="inlineStr">
        <is>
          <t>R095</t>
        </is>
      </c>
      <c r="M97" t="inlineStr">
        <is>
          <t>Si</t>
        </is>
      </c>
      <c r="N97">
        <f>INDEX(Pesos_Dimensiones!$C$2:$C$22,MATCH(B97,Pesos_Dimensiones!$A$2:$A$22,0))</f>
        <v/>
      </c>
      <c r="O97">
        <f>1/COUNTIF($B$2:$B$211,B97)</f>
        <v/>
      </c>
      <c r="P97">
        <f>IF(OR(C97="Base",C97="Adicional"),N97*O97,0)</f>
        <v/>
      </c>
      <c r="Q97">
        <f>K97*P97</f>
        <v/>
      </c>
    </row>
    <row r="98">
      <c r="A98" t="inlineStr">
        <is>
          <t>R097</t>
        </is>
      </c>
      <c r="B98" t="inlineStr">
        <is>
          <t>Maltrato Laboral</t>
        </is>
      </c>
      <c r="C98">
        <f>INDEX(Pesos_Dimensiones!$B$2:$B$22,MATCH(B98,Pesos_Dimensiones!$A$2:$A$22,0))</f>
        <v/>
      </c>
      <c r="D98" t="inlineStr">
        <is>
          <t>Involucramiento pasado — indicador 4 (Minimización del impacto psicológico del maltrato sobre terceros.)</t>
        </is>
      </c>
      <c r="E98" t="inlineStr">
        <is>
          <t>3-Involucramiento pasado</t>
        </is>
      </c>
      <c r="F98" t="n">
        <v>0</v>
      </c>
      <c r="G98" t="n">
        <v>4</v>
      </c>
      <c r="H98" t="inlineStr">
        <is>
          <t>Directo</t>
        </is>
      </c>
      <c r="I98" t="n">
        <v>0</v>
      </c>
      <c r="J98">
        <f>IF(H98="Inverso",G98-I98,I98)</f>
        <v/>
      </c>
      <c r="K98">
        <f>IFERROR(J98/G98,0)</f>
        <v/>
      </c>
      <c r="L98" t="inlineStr">
        <is>
          <t>R098</t>
        </is>
      </c>
      <c r="M98" t="inlineStr">
        <is>
          <t>Si</t>
        </is>
      </c>
      <c r="N98">
        <f>INDEX(Pesos_Dimensiones!$C$2:$C$22,MATCH(B98,Pesos_Dimensiones!$A$2:$A$22,0))</f>
        <v/>
      </c>
      <c r="O98">
        <f>1/COUNTIF($B$2:$B$211,B98)</f>
        <v/>
      </c>
      <c r="P98">
        <f>IF(OR(C98="Base",C98="Adicional"),N98*O98,0)</f>
        <v/>
      </c>
      <c r="Q98">
        <f>K98*P98</f>
        <v/>
      </c>
    </row>
    <row r="99">
      <c r="A99" t="inlineStr">
        <is>
          <t>R098</t>
        </is>
      </c>
      <c r="B99" t="inlineStr">
        <is>
          <t>Maltrato Laboral</t>
        </is>
      </c>
      <c r="C99">
        <f>INDEX(Pesos_Dimensiones!$B$2:$B$22,MATCH(B99,Pesos_Dimensiones!$A$2:$A$22,0))</f>
        <v/>
      </c>
      <c r="D99" t="inlineStr">
        <is>
          <t>Intención futura — indicador 4 (Minimización del impacto psicológico del maltrato sobre terceros.)</t>
        </is>
      </c>
      <c r="E99" t="inlineStr">
        <is>
          <t>6-Intención futura</t>
        </is>
      </c>
      <c r="F99" t="n">
        <v>0</v>
      </c>
      <c r="G99" t="n">
        <v>4</v>
      </c>
      <c r="H99" t="inlineStr">
        <is>
          <t>Inverso</t>
        </is>
      </c>
      <c r="I99" t="n">
        <v>0</v>
      </c>
      <c r="J99">
        <f>IF(H99="Inverso",G99-I99,I99)</f>
        <v/>
      </c>
      <c r="K99">
        <f>IFERROR(J99/G99,0)</f>
        <v/>
      </c>
      <c r="L99" t="inlineStr">
        <is>
          <t>R097</t>
        </is>
      </c>
      <c r="M99" t="inlineStr">
        <is>
          <t>Si</t>
        </is>
      </c>
      <c r="N99">
        <f>INDEX(Pesos_Dimensiones!$C$2:$C$22,MATCH(B99,Pesos_Dimensiones!$A$2:$A$22,0))</f>
        <v/>
      </c>
      <c r="O99">
        <f>1/COUNTIF($B$2:$B$211,B99)</f>
        <v/>
      </c>
      <c r="P99">
        <f>IF(OR(C99="Base",C99="Adicional"),N99*O99,0)</f>
        <v/>
      </c>
      <c r="Q99">
        <f>K99*P99</f>
        <v/>
      </c>
    </row>
    <row r="100">
      <c r="A100" t="inlineStr">
        <is>
          <t>R099</t>
        </is>
      </c>
      <c r="B100" t="inlineStr">
        <is>
          <t>Maltrato Laboral</t>
        </is>
      </c>
      <c r="C100">
        <f>INDEX(Pesos_Dimensiones!$B$2:$B$22,MATCH(B100,Pesos_Dimensiones!$A$2:$A$22,0))</f>
        <v/>
      </c>
      <c r="D100" t="inlineStr">
        <is>
          <t>Escenario/dilema — indicador 1 (Disposición a usar la autoridad para intimidar o humillar a subordinad…)</t>
        </is>
      </c>
      <c r="E100" t="inlineStr">
        <is>
          <t>4-Escenario/dilema</t>
        </is>
      </c>
      <c r="F100" t="n">
        <v>0</v>
      </c>
      <c r="G100" t="n">
        <v>3</v>
      </c>
      <c r="H100" t="inlineStr">
        <is>
          <t>Directo</t>
        </is>
      </c>
      <c r="I100" t="n">
        <v>0</v>
      </c>
      <c r="J100">
        <f>IF(H100="Inverso",G100-I100,I100)</f>
        <v/>
      </c>
      <c r="K100">
        <f>IFERROR(J100/G100,0)</f>
        <v/>
      </c>
      <c r="L100" t="inlineStr">
        <is>
          <t>R100</t>
        </is>
      </c>
      <c r="M100" t="inlineStr">
        <is>
          <t>Si</t>
        </is>
      </c>
      <c r="N100">
        <f>INDEX(Pesos_Dimensiones!$C$2:$C$22,MATCH(B100,Pesos_Dimensiones!$A$2:$A$22,0))</f>
        <v/>
      </c>
      <c r="O100">
        <f>1/COUNTIF($B$2:$B$211,B100)</f>
        <v/>
      </c>
      <c r="P100">
        <f>IF(OR(C100="Base",C100="Adicional"),N100*O100,0)</f>
        <v/>
      </c>
      <c r="Q100">
        <f>K100*P100</f>
        <v/>
      </c>
    </row>
    <row r="101">
      <c r="A101" t="inlineStr">
        <is>
          <t>R100</t>
        </is>
      </c>
      <c r="B101" t="inlineStr">
        <is>
          <t>Maltrato Laboral</t>
        </is>
      </c>
      <c r="C101">
        <f>INDEX(Pesos_Dimensiones!$B$2:$B$22,MATCH(B101,Pesos_Dimensiones!$A$2:$A$22,0))</f>
        <v/>
      </c>
      <c r="D101" t="inlineStr">
        <is>
          <t>Percepción de terceros — indicador 1 (Disposición a usar la autoridad para intimidar o humillar a subordinad…)</t>
        </is>
      </c>
      <c r="E101" t="inlineStr">
        <is>
          <t>2-Percepción de terceros</t>
        </is>
      </c>
      <c r="F101" t="n">
        <v>0</v>
      </c>
      <c r="G101" t="n">
        <v>3</v>
      </c>
      <c r="H101" t="inlineStr">
        <is>
          <t>Directo</t>
        </is>
      </c>
      <c r="I101" t="n">
        <v>0</v>
      </c>
      <c r="J101">
        <f>IF(H101="Inverso",G101-I101,I101)</f>
        <v/>
      </c>
      <c r="K101">
        <f>IFERROR(J101/G101,0)</f>
        <v/>
      </c>
      <c r="L101" t="inlineStr">
        <is>
          <t>R099</t>
        </is>
      </c>
      <c r="M101" t="inlineStr">
        <is>
          <t>Si</t>
        </is>
      </c>
      <c r="N101">
        <f>INDEX(Pesos_Dimensiones!$C$2:$C$22,MATCH(B101,Pesos_Dimensiones!$A$2:$A$22,0))</f>
        <v/>
      </c>
      <c r="O101">
        <f>1/COUNTIF($B$2:$B$211,B101)</f>
        <v/>
      </c>
      <c r="P101">
        <f>IF(OR(C101="Base",C101="Adicional"),N101*O101,0)</f>
        <v/>
      </c>
      <c r="Q101">
        <f>K101*P101</f>
        <v/>
      </c>
    </row>
    <row r="102">
      <c r="A102" t="inlineStr">
        <is>
          <t>R101</t>
        </is>
      </c>
      <c r="B102" t="inlineStr">
        <is>
          <t>Discriminación</t>
        </is>
      </c>
      <c r="C102">
        <f>INDEX(Pesos_Dimensiones!$B$2:$B$22,MATCH(B102,Pesos_Dimensiones!$A$2:$A$22,0))</f>
        <v/>
      </c>
      <c r="D102" t="inlineStr">
        <is>
          <t>Opinión/Actitud — indicador 1 (Disposición a preferir o excluir a alguien por características no rela…)</t>
        </is>
      </c>
      <c r="E102" t="inlineStr">
        <is>
          <t>1-Opinión/Actitud</t>
        </is>
      </c>
      <c r="F102" t="n">
        <v>0</v>
      </c>
      <c r="G102" t="n">
        <v>4</v>
      </c>
      <c r="H102" t="inlineStr">
        <is>
          <t>Directo</t>
        </is>
      </c>
      <c r="I102" t="n">
        <v>0</v>
      </c>
      <c r="J102">
        <f>IF(H102="Inverso",G102-I102,I102)</f>
        <v/>
      </c>
      <c r="K102">
        <f>IFERROR(J102/G102,0)</f>
        <v/>
      </c>
      <c r="L102" t="inlineStr">
        <is>
          <t>R102</t>
        </is>
      </c>
      <c r="M102" t="inlineStr">
        <is>
          <t>Si</t>
        </is>
      </c>
      <c r="N102">
        <f>INDEX(Pesos_Dimensiones!$C$2:$C$22,MATCH(B102,Pesos_Dimensiones!$A$2:$A$22,0))</f>
        <v/>
      </c>
      <c r="O102">
        <f>1/COUNTIF($B$2:$B$211,B102)</f>
        <v/>
      </c>
      <c r="P102">
        <f>IF(OR(C102="Base",C102="Adicional"),N102*O102,0)</f>
        <v/>
      </c>
      <c r="Q102">
        <f>K102*P102</f>
        <v/>
      </c>
    </row>
    <row r="103">
      <c r="A103" t="inlineStr">
        <is>
          <t>R102</t>
        </is>
      </c>
      <c r="B103" t="inlineStr">
        <is>
          <t>Discriminación</t>
        </is>
      </c>
      <c r="C103">
        <f>INDEX(Pesos_Dimensiones!$B$2:$B$22,MATCH(B103,Pesos_Dimensiones!$A$2:$A$22,0))</f>
        <v/>
      </c>
      <c r="D103" t="inlineStr">
        <is>
          <t>Intención futura — indicador 1 (Disposición a preferir o excluir a alguien por características no rela…)</t>
        </is>
      </c>
      <c r="E103" t="inlineStr">
        <is>
          <t>6-Intención futura</t>
        </is>
      </c>
      <c r="F103" t="n">
        <v>0</v>
      </c>
      <c r="G103" t="n">
        <v>4</v>
      </c>
      <c r="H103" t="inlineStr">
        <is>
          <t>Inverso</t>
        </is>
      </c>
      <c r="I103" t="n">
        <v>0</v>
      </c>
      <c r="J103">
        <f>IF(H103="Inverso",G103-I103,I103)</f>
        <v/>
      </c>
      <c r="K103">
        <f>IFERROR(J103/G103,0)</f>
        <v/>
      </c>
      <c r="L103" t="inlineStr">
        <is>
          <t>R101</t>
        </is>
      </c>
      <c r="M103" t="inlineStr">
        <is>
          <t>Si</t>
        </is>
      </c>
      <c r="N103">
        <f>INDEX(Pesos_Dimensiones!$C$2:$C$22,MATCH(B103,Pesos_Dimensiones!$A$2:$A$22,0))</f>
        <v/>
      </c>
      <c r="O103">
        <f>1/COUNTIF($B$2:$B$211,B103)</f>
        <v/>
      </c>
      <c r="P103">
        <f>IF(OR(C103="Base",C103="Adicional"),N103*O103,0)</f>
        <v/>
      </c>
      <c r="Q103">
        <f>K103*P103</f>
        <v/>
      </c>
    </row>
    <row r="104">
      <c r="A104" t="inlineStr">
        <is>
          <t>R103</t>
        </is>
      </c>
      <c r="B104" t="inlineStr">
        <is>
          <t>Discriminación</t>
        </is>
      </c>
      <c r="C104">
        <f>INDEX(Pesos_Dimensiones!$B$2:$B$22,MATCH(B104,Pesos_Dimensiones!$A$2:$A$22,0))</f>
        <v/>
      </c>
      <c r="D104" t="inlineStr">
        <is>
          <t>Involucramiento pasado — indicador 2 (Justificación de estereotipos como base válida para tomar decisiones.)</t>
        </is>
      </c>
      <c r="E104" t="inlineStr">
        <is>
          <t>3-Involucramiento pasado</t>
        </is>
      </c>
      <c r="F104" t="n">
        <v>0</v>
      </c>
      <c r="G104" t="n">
        <v>4</v>
      </c>
      <c r="H104" t="inlineStr">
        <is>
          <t>Directo</t>
        </is>
      </c>
      <c r="I104" t="n">
        <v>0</v>
      </c>
      <c r="J104">
        <f>IF(H104="Inverso",G104-I104,I104)</f>
        <v/>
      </c>
      <c r="K104">
        <f>IFERROR(J104/G104,0)</f>
        <v/>
      </c>
      <c r="L104" t="inlineStr">
        <is>
          <t>R104</t>
        </is>
      </c>
      <c r="M104" t="inlineStr">
        <is>
          <t>Si</t>
        </is>
      </c>
      <c r="N104">
        <f>INDEX(Pesos_Dimensiones!$C$2:$C$22,MATCH(B104,Pesos_Dimensiones!$A$2:$A$22,0))</f>
        <v/>
      </c>
      <c r="O104">
        <f>1/COUNTIF($B$2:$B$211,B104)</f>
        <v/>
      </c>
      <c r="P104">
        <f>IF(OR(C104="Base",C104="Adicional"),N104*O104,0)</f>
        <v/>
      </c>
      <c r="Q104">
        <f>K104*P104</f>
        <v/>
      </c>
    </row>
    <row r="105">
      <c r="A105" t="inlineStr">
        <is>
          <t>R104</t>
        </is>
      </c>
      <c r="B105" t="inlineStr">
        <is>
          <t>Discriminación</t>
        </is>
      </c>
      <c r="C105">
        <f>INDEX(Pesos_Dimensiones!$B$2:$B$22,MATCH(B105,Pesos_Dimensiones!$A$2:$A$22,0))</f>
        <v/>
      </c>
      <c r="D105" t="inlineStr">
        <is>
          <t>Escenario/dilema — indicador 2 (Justificación de estereotipos como base válida para tomar decisiones.)</t>
        </is>
      </c>
      <c r="E105" t="inlineStr">
        <is>
          <t>4-Escenario/dilema</t>
        </is>
      </c>
      <c r="F105" t="n">
        <v>0</v>
      </c>
      <c r="G105" t="n">
        <v>3</v>
      </c>
      <c r="H105" t="inlineStr">
        <is>
          <t>Directo</t>
        </is>
      </c>
      <c r="I105" t="n">
        <v>0</v>
      </c>
      <c r="J105">
        <f>IF(H105="Inverso",G105-I105,I105)</f>
        <v/>
      </c>
      <c r="K105">
        <f>IFERROR(J105/G105,0)</f>
        <v/>
      </c>
      <c r="L105" t="inlineStr">
        <is>
          <t>R103</t>
        </is>
      </c>
      <c r="M105" t="inlineStr">
        <is>
          <t>Si</t>
        </is>
      </c>
      <c r="N105">
        <f>INDEX(Pesos_Dimensiones!$C$2:$C$22,MATCH(B105,Pesos_Dimensiones!$A$2:$A$22,0))</f>
        <v/>
      </c>
      <c r="O105">
        <f>1/COUNTIF($B$2:$B$211,B105)</f>
        <v/>
      </c>
      <c r="P105">
        <f>IF(OR(C105="Base",C105="Adicional"),N105*O105,0)</f>
        <v/>
      </c>
      <c r="Q105">
        <f>K105*P105</f>
        <v/>
      </c>
    </row>
    <row r="106">
      <c r="A106" t="inlineStr">
        <is>
          <t>R105</t>
        </is>
      </c>
      <c r="B106" t="inlineStr">
        <is>
          <t>Discriminación</t>
        </is>
      </c>
      <c r="C106">
        <f>INDEX(Pesos_Dimensiones!$B$2:$B$22,MATCH(B106,Pesos_Dimensiones!$A$2:$A$22,0))</f>
        <v/>
      </c>
      <c r="D106" t="inlineStr">
        <is>
          <t>Percepción de terceros — indicador 3 (Minimización de episodios de discriminación observados en el entorno.)</t>
        </is>
      </c>
      <c r="E106" t="inlineStr">
        <is>
          <t>2-Percepción de terceros</t>
        </is>
      </c>
      <c r="F106" t="n">
        <v>0</v>
      </c>
      <c r="G106" t="n">
        <v>3</v>
      </c>
      <c r="H106" t="inlineStr">
        <is>
          <t>Directo</t>
        </is>
      </c>
      <c r="I106" t="n">
        <v>0</v>
      </c>
      <c r="J106">
        <f>IF(H106="Inverso",G106-I106,I106)</f>
        <v/>
      </c>
      <c r="K106">
        <f>IFERROR(J106/G106,0)</f>
        <v/>
      </c>
      <c r="L106" t="inlineStr">
        <is>
          <t>R106</t>
        </is>
      </c>
      <c r="M106" t="inlineStr">
        <is>
          <t>Si</t>
        </is>
      </c>
      <c r="N106">
        <f>INDEX(Pesos_Dimensiones!$C$2:$C$22,MATCH(B106,Pesos_Dimensiones!$A$2:$A$22,0))</f>
        <v/>
      </c>
      <c r="O106">
        <f>1/COUNTIF($B$2:$B$211,B106)</f>
        <v/>
      </c>
      <c r="P106">
        <f>IF(OR(C106="Base",C106="Adicional"),N106*O106,0)</f>
        <v/>
      </c>
      <c r="Q106">
        <f>K106*P106</f>
        <v/>
      </c>
    </row>
    <row r="107">
      <c r="A107" t="inlineStr">
        <is>
          <t>R106</t>
        </is>
      </c>
      <c r="B107" t="inlineStr">
        <is>
          <t>Discriminación</t>
        </is>
      </c>
      <c r="C107">
        <f>INDEX(Pesos_Dimensiones!$B$2:$B$22,MATCH(B107,Pesos_Dimensiones!$A$2:$A$22,0))</f>
        <v/>
      </c>
      <c r="D107" t="inlineStr">
        <is>
          <t>Opinión/Actitud — indicador 3 (Minimización de episodios de discriminación observados en el entorno.)</t>
        </is>
      </c>
      <c r="E107" t="inlineStr">
        <is>
          <t>1-Opinión/Actitud</t>
        </is>
      </c>
      <c r="F107" t="n">
        <v>0</v>
      </c>
      <c r="G107" t="n">
        <v>4</v>
      </c>
      <c r="H107" t="inlineStr">
        <is>
          <t>Directo</t>
        </is>
      </c>
      <c r="I107" t="n">
        <v>0</v>
      </c>
      <c r="J107">
        <f>IF(H107="Inverso",G107-I107,I107)</f>
        <v/>
      </c>
      <c r="K107">
        <f>IFERROR(J107/G107,0)</f>
        <v/>
      </c>
      <c r="L107" t="inlineStr">
        <is>
          <t>R105</t>
        </is>
      </c>
      <c r="M107" t="inlineStr">
        <is>
          <t>Si</t>
        </is>
      </c>
      <c r="N107">
        <f>INDEX(Pesos_Dimensiones!$C$2:$C$22,MATCH(B107,Pesos_Dimensiones!$A$2:$A$22,0))</f>
        <v/>
      </c>
      <c r="O107">
        <f>1/COUNTIF($B$2:$B$211,B107)</f>
        <v/>
      </c>
      <c r="P107">
        <f>IF(OR(C107="Base",C107="Adicional"),N107*O107,0)</f>
        <v/>
      </c>
      <c r="Q107">
        <f>K107*P107</f>
        <v/>
      </c>
    </row>
    <row r="108">
      <c r="A108" t="inlineStr">
        <is>
          <t>R107</t>
        </is>
      </c>
      <c r="B108" t="inlineStr">
        <is>
          <t>Discriminación</t>
        </is>
      </c>
      <c r="C108">
        <f>INDEX(Pesos_Dimensiones!$B$2:$B$22,MATCH(B108,Pesos_Dimensiones!$A$2:$A$22,0))</f>
        <v/>
      </c>
      <c r="D108" t="inlineStr">
        <is>
          <t>Involucramiento pasado — indicador 4 (Actitud favorable hacia normas o prácticas que excluyen a ciertos grup…)</t>
        </is>
      </c>
      <c r="E108" t="inlineStr">
        <is>
          <t>3-Involucramiento pasado</t>
        </is>
      </c>
      <c r="F108" t="n">
        <v>0</v>
      </c>
      <c r="G108" t="n">
        <v>4</v>
      </c>
      <c r="H108" t="inlineStr">
        <is>
          <t>Directo</t>
        </is>
      </c>
      <c r="I108" t="n">
        <v>0</v>
      </c>
      <c r="J108">
        <f>IF(H108="Inverso",G108-I108,I108)</f>
        <v/>
      </c>
      <c r="K108">
        <f>IFERROR(J108/G108,0)</f>
        <v/>
      </c>
      <c r="L108" t="inlineStr">
        <is>
          <t>R108</t>
        </is>
      </c>
      <c r="M108" t="inlineStr">
        <is>
          <t>Si</t>
        </is>
      </c>
      <c r="N108">
        <f>INDEX(Pesos_Dimensiones!$C$2:$C$22,MATCH(B108,Pesos_Dimensiones!$A$2:$A$22,0))</f>
        <v/>
      </c>
      <c r="O108">
        <f>1/COUNTIF($B$2:$B$211,B108)</f>
        <v/>
      </c>
      <c r="P108">
        <f>IF(OR(C108="Base",C108="Adicional"),N108*O108,0)</f>
        <v/>
      </c>
      <c r="Q108">
        <f>K108*P108</f>
        <v/>
      </c>
    </row>
    <row r="109">
      <c r="A109" t="inlineStr">
        <is>
          <t>R108</t>
        </is>
      </c>
      <c r="B109" t="inlineStr">
        <is>
          <t>Discriminación</t>
        </is>
      </c>
      <c r="C109">
        <f>INDEX(Pesos_Dimensiones!$B$2:$B$22,MATCH(B109,Pesos_Dimensiones!$A$2:$A$22,0))</f>
        <v/>
      </c>
      <c r="D109" t="inlineStr">
        <is>
          <t>Intención futura — indicador 4 (Actitud favorable hacia normas o prácticas que excluyen a ciertos grup…)</t>
        </is>
      </c>
      <c r="E109" t="inlineStr">
        <is>
          <t>6-Intención futura</t>
        </is>
      </c>
      <c r="F109" t="n">
        <v>0</v>
      </c>
      <c r="G109" t="n">
        <v>4</v>
      </c>
      <c r="H109" t="inlineStr">
        <is>
          <t>Inverso</t>
        </is>
      </c>
      <c r="I109" t="n">
        <v>0</v>
      </c>
      <c r="J109">
        <f>IF(H109="Inverso",G109-I109,I109)</f>
        <v/>
      </c>
      <c r="K109">
        <f>IFERROR(J109/G109,0)</f>
        <v/>
      </c>
      <c r="L109" t="inlineStr">
        <is>
          <t>R107</t>
        </is>
      </c>
      <c r="M109" t="inlineStr">
        <is>
          <t>Si</t>
        </is>
      </c>
      <c r="N109">
        <f>INDEX(Pesos_Dimensiones!$C$2:$C$22,MATCH(B109,Pesos_Dimensiones!$A$2:$A$22,0))</f>
        <v/>
      </c>
      <c r="O109">
        <f>1/COUNTIF($B$2:$B$211,B109)</f>
        <v/>
      </c>
      <c r="P109">
        <f>IF(OR(C109="Base",C109="Adicional"),N109*O109,0)</f>
        <v/>
      </c>
      <c r="Q109">
        <f>K109*P109</f>
        <v/>
      </c>
    </row>
    <row r="110">
      <c r="A110" t="inlineStr">
        <is>
          <t>R109</t>
        </is>
      </c>
      <c r="B110" t="inlineStr">
        <is>
          <t>Discriminación</t>
        </is>
      </c>
      <c r="C110">
        <f>INDEX(Pesos_Dimensiones!$B$2:$B$22,MATCH(B110,Pesos_Dimensiones!$A$2:$A$22,0))</f>
        <v/>
      </c>
      <c r="D110" t="inlineStr">
        <is>
          <t>Escenario/dilema — indicador 1 (Disposición a preferir o excluir a alguien por características no rela…)</t>
        </is>
      </c>
      <c r="E110" t="inlineStr">
        <is>
          <t>4-Escenario/dilema</t>
        </is>
      </c>
      <c r="F110" t="n">
        <v>0</v>
      </c>
      <c r="G110" t="n">
        <v>3</v>
      </c>
      <c r="H110" t="inlineStr">
        <is>
          <t>Directo</t>
        </is>
      </c>
      <c r="I110" t="n">
        <v>0</v>
      </c>
      <c r="J110">
        <f>IF(H110="Inverso",G110-I110,I110)</f>
        <v/>
      </c>
      <c r="K110">
        <f>IFERROR(J110/G110,0)</f>
        <v/>
      </c>
      <c r="L110" t="inlineStr">
        <is>
          <t>R110</t>
        </is>
      </c>
      <c r="M110" t="inlineStr">
        <is>
          <t>Si</t>
        </is>
      </c>
      <c r="N110">
        <f>INDEX(Pesos_Dimensiones!$C$2:$C$22,MATCH(B110,Pesos_Dimensiones!$A$2:$A$22,0))</f>
        <v/>
      </c>
      <c r="O110">
        <f>1/COUNTIF($B$2:$B$211,B110)</f>
        <v/>
      </c>
      <c r="P110">
        <f>IF(OR(C110="Base",C110="Adicional"),N110*O110,0)</f>
        <v/>
      </c>
      <c r="Q110">
        <f>K110*P110</f>
        <v/>
      </c>
    </row>
    <row r="111">
      <c r="A111" t="inlineStr">
        <is>
          <t>R110</t>
        </is>
      </c>
      <c r="B111" t="inlineStr">
        <is>
          <t>Discriminación</t>
        </is>
      </c>
      <c r="C111">
        <f>INDEX(Pesos_Dimensiones!$B$2:$B$22,MATCH(B111,Pesos_Dimensiones!$A$2:$A$22,0))</f>
        <v/>
      </c>
      <c r="D111" t="inlineStr">
        <is>
          <t>Percepción de terceros — indicador 1 (Disposición a preferir o excluir a alguien por características no rela…)</t>
        </is>
      </c>
      <c r="E111" t="inlineStr">
        <is>
          <t>2-Percepción de terceros</t>
        </is>
      </c>
      <c r="F111" t="n">
        <v>0</v>
      </c>
      <c r="G111" t="n">
        <v>3</v>
      </c>
      <c r="H111" t="inlineStr">
        <is>
          <t>Directo</t>
        </is>
      </c>
      <c r="I111" t="n">
        <v>0</v>
      </c>
      <c r="J111">
        <f>IF(H111="Inverso",G111-I111,I111)</f>
        <v/>
      </c>
      <c r="K111">
        <f>IFERROR(J111/G111,0)</f>
        <v/>
      </c>
      <c r="L111" t="inlineStr">
        <is>
          <t>R109</t>
        </is>
      </c>
      <c r="M111" t="inlineStr">
        <is>
          <t>Si</t>
        </is>
      </c>
      <c r="N111">
        <f>INDEX(Pesos_Dimensiones!$C$2:$C$22,MATCH(B111,Pesos_Dimensiones!$A$2:$A$22,0))</f>
        <v/>
      </c>
      <c r="O111">
        <f>1/COUNTIF($B$2:$B$211,B111)</f>
        <v/>
      </c>
      <c r="P111">
        <f>IF(OR(C111="Base",C111="Adicional"),N111*O111,0)</f>
        <v/>
      </c>
      <c r="Q111">
        <f>K111*P111</f>
        <v/>
      </c>
    </row>
    <row r="112">
      <c r="A112" t="inlineStr">
        <is>
          <t>R111</t>
        </is>
      </c>
      <c r="B112" t="inlineStr">
        <is>
          <t>Asociación Criminal</t>
        </is>
      </c>
      <c r="C112">
        <f>INDEX(Pesos_Dimensiones!$B$2:$B$22,MATCH(B112,Pesos_Dimensiones!$A$2:$A$22,0))</f>
        <v/>
      </c>
      <c r="D112" t="inlineStr">
        <is>
          <t>Opinión/Actitud — indicador 1 (Actitud tolerante hacia convivir o relacionarse con personas de activi…)</t>
        </is>
      </c>
      <c r="E112" t="inlineStr">
        <is>
          <t>1-Opinión/Actitud</t>
        </is>
      </c>
      <c r="F112" t="n">
        <v>0</v>
      </c>
      <c r="G112" t="n">
        <v>4</v>
      </c>
      <c r="H112" t="inlineStr">
        <is>
          <t>Directo</t>
        </is>
      </c>
      <c r="I112" t="n">
        <v>0</v>
      </c>
      <c r="J112">
        <f>IF(H112="Inverso",G112-I112,I112)</f>
        <v/>
      </c>
      <c r="K112">
        <f>IFERROR(J112/G112,0)</f>
        <v/>
      </c>
      <c r="L112" t="inlineStr">
        <is>
          <t>R112</t>
        </is>
      </c>
      <c r="M112" t="inlineStr">
        <is>
          <t>Si</t>
        </is>
      </c>
      <c r="N112">
        <f>INDEX(Pesos_Dimensiones!$C$2:$C$22,MATCH(B112,Pesos_Dimensiones!$A$2:$A$22,0))</f>
        <v/>
      </c>
      <c r="O112">
        <f>1/COUNTIF($B$2:$B$211,B112)</f>
        <v/>
      </c>
      <c r="P112">
        <f>IF(OR(C112="Base",C112="Adicional"),N112*O112,0)</f>
        <v/>
      </c>
      <c r="Q112">
        <f>K112*P112</f>
        <v/>
      </c>
    </row>
    <row r="113">
      <c r="A113" t="inlineStr">
        <is>
          <t>R112</t>
        </is>
      </c>
      <c r="B113" t="inlineStr">
        <is>
          <t>Asociación Criminal</t>
        </is>
      </c>
      <c r="C113">
        <f>INDEX(Pesos_Dimensiones!$B$2:$B$22,MATCH(B113,Pesos_Dimensiones!$A$2:$A$22,0))</f>
        <v/>
      </c>
      <c r="D113" t="inlineStr">
        <is>
          <t>Intención futura — indicador 1 (Actitud tolerante hacia convivir o relacionarse con personas de activi…)</t>
        </is>
      </c>
      <c r="E113" t="inlineStr">
        <is>
          <t>6-Intención futura</t>
        </is>
      </c>
      <c r="F113" t="n">
        <v>0</v>
      </c>
      <c r="G113" t="n">
        <v>4</v>
      </c>
      <c r="H113" t="inlineStr">
        <is>
          <t>Inverso</t>
        </is>
      </c>
      <c r="I113" t="n">
        <v>0</v>
      </c>
      <c r="J113">
        <f>IF(H113="Inverso",G113-I113,I113)</f>
        <v/>
      </c>
      <c r="K113">
        <f>IFERROR(J113/G113,0)</f>
        <v/>
      </c>
      <c r="L113" t="inlineStr">
        <is>
          <t>R111</t>
        </is>
      </c>
      <c r="M113" t="inlineStr">
        <is>
          <t>Si</t>
        </is>
      </c>
      <c r="N113">
        <f>INDEX(Pesos_Dimensiones!$C$2:$C$22,MATCH(B113,Pesos_Dimensiones!$A$2:$A$22,0))</f>
        <v/>
      </c>
      <c r="O113">
        <f>1/COUNTIF($B$2:$B$211,B113)</f>
        <v/>
      </c>
      <c r="P113">
        <f>IF(OR(C113="Base",C113="Adicional"),N113*O113,0)</f>
        <v/>
      </c>
      <c r="Q113">
        <f>K113*P113</f>
        <v/>
      </c>
    </row>
    <row r="114">
      <c r="A114" t="inlineStr">
        <is>
          <t>R113</t>
        </is>
      </c>
      <c r="B114" t="inlineStr">
        <is>
          <t>Asociación Criminal</t>
        </is>
      </c>
      <c r="C114">
        <f>INDEX(Pesos_Dimensiones!$B$2:$B$22,MATCH(B114,Pesos_Dimensiones!$A$2:$A$22,0))</f>
        <v/>
      </c>
      <c r="D114" t="inlineStr">
        <is>
          <t>Involucramiento pasado — indicador 2 (Disposición a participar, incluso marginalmente, en actividades vincul…)</t>
        </is>
      </c>
      <c r="E114" t="inlineStr">
        <is>
          <t>3-Involucramiento pasado</t>
        </is>
      </c>
      <c r="F114" t="n">
        <v>0</v>
      </c>
      <c r="G114" t="n">
        <v>4</v>
      </c>
      <c r="H114" t="inlineStr">
        <is>
          <t>Directo</t>
        </is>
      </c>
      <c r="I114" t="n">
        <v>0</v>
      </c>
      <c r="J114">
        <f>IF(H114="Inverso",G114-I114,I114)</f>
        <v/>
      </c>
      <c r="K114">
        <f>IFERROR(J114/G114,0)</f>
        <v/>
      </c>
      <c r="L114" t="inlineStr">
        <is>
          <t>R114</t>
        </is>
      </c>
      <c r="M114" t="inlineStr">
        <is>
          <t>Si</t>
        </is>
      </c>
      <c r="N114">
        <f>INDEX(Pesos_Dimensiones!$C$2:$C$22,MATCH(B114,Pesos_Dimensiones!$A$2:$A$22,0))</f>
        <v/>
      </c>
      <c r="O114">
        <f>1/COUNTIF($B$2:$B$211,B114)</f>
        <v/>
      </c>
      <c r="P114">
        <f>IF(OR(C114="Base",C114="Adicional"),N114*O114,0)</f>
        <v/>
      </c>
      <c r="Q114">
        <f>K114*P114</f>
        <v/>
      </c>
    </row>
    <row r="115">
      <c r="A115" t="inlineStr">
        <is>
          <t>R114</t>
        </is>
      </c>
      <c r="B115" t="inlineStr">
        <is>
          <t>Asociación Criminal</t>
        </is>
      </c>
      <c r="C115">
        <f>INDEX(Pesos_Dimensiones!$B$2:$B$22,MATCH(B115,Pesos_Dimensiones!$A$2:$A$22,0))</f>
        <v/>
      </c>
      <c r="D115" t="inlineStr">
        <is>
          <t>Escenario/dilema — indicador 2 (Disposición a participar, incluso marginalmente, en actividades vincul…)</t>
        </is>
      </c>
      <c r="E115" t="inlineStr">
        <is>
          <t>4-Escenario/dilema</t>
        </is>
      </c>
      <c r="F115" t="n">
        <v>0</v>
      </c>
      <c r="G115" t="n">
        <v>3</v>
      </c>
      <c r="H115" t="inlineStr">
        <is>
          <t>Directo</t>
        </is>
      </c>
      <c r="I115" t="n">
        <v>0</v>
      </c>
      <c r="J115">
        <f>IF(H115="Inverso",G115-I115,I115)</f>
        <v/>
      </c>
      <c r="K115">
        <f>IFERROR(J115/G115,0)</f>
        <v/>
      </c>
      <c r="L115" t="inlineStr">
        <is>
          <t>R113</t>
        </is>
      </c>
      <c r="M115" t="inlineStr">
        <is>
          <t>Si</t>
        </is>
      </c>
      <c r="N115">
        <f>INDEX(Pesos_Dimensiones!$C$2:$C$22,MATCH(B115,Pesos_Dimensiones!$A$2:$A$22,0))</f>
        <v/>
      </c>
      <c r="O115">
        <f>1/COUNTIF($B$2:$B$211,B115)</f>
        <v/>
      </c>
      <c r="P115">
        <f>IF(OR(C115="Base",C115="Adicional"),N115*O115,0)</f>
        <v/>
      </c>
      <c r="Q115">
        <f>K115*P115</f>
        <v/>
      </c>
    </row>
    <row r="116">
      <c r="A116" t="inlineStr">
        <is>
          <t>R115</t>
        </is>
      </c>
      <c r="B116" t="inlineStr">
        <is>
          <t>Asociación Criminal</t>
        </is>
      </c>
      <c r="C116">
        <f>INDEX(Pesos_Dimensiones!$B$2:$B$22,MATCH(B116,Pesos_Dimensiones!$A$2:$A$22,0))</f>
        <v/>
      </c>
      <c r="D116" t="inlineStr">
        <is>
          <t>Percepción de terceros — indicador 3 (Minimización del riesgo o daño de asociarse con estructuras delictivas…)</t>
        </is>
      </c>
      <c r="E116" t="inlineStr">
        <is>
          <t>2-Percepción de terceros</t>
        </is>
      </c>
      <c r="F116" t="n">
        <v>0</v>
      </c>
      <c r="G116" t="n">
        <v>3</v>
      </c>
      <c r="H116" t="inlineStr">
        <is>
          <t>Directo</t>
        </is>
      </c>
      <c r="I116" t="n">
        <v>0</v>
      </c>
      <c r="J116">
        <f>IF(H116="Inverso",G116-I116,I116)</f>
        <v/>
      </c>
      <c r="K116">
        <f>IFERROR(J116/G116,0)</f>
        <v/>
      </c>
      <c r="L116" t="inlineStr">
        <is>
          <t>R116</t>
        </is>
      </c>
      <c r="M116" t="inlineStr">
        <is>
          <t>Si</t>
        </is>
      </c>
      <c r="N116">
        <f>INDEX(Pesos_Dimensiones!$C$2:$C$22,MATCH(B116,Pesos_Dimensiones!$A$2:$A$22,0))</f>
        <v/>
      </c>
      <c r="O116">
        <f>1/COUNTIF($B$2:$B$211,B116)</f>
        <v/>
      </c>
      <c r="P116">
        <f>IF(OR(C116="Base",C116="Adicional"),N116*O116,0)</f>
        <v/>
      </c>
      <c r="Q116">
        <f>K116*P116</f>
        <v/>
      </c>
    </row>
    <row r="117">
      <c r="A117" t="inlineStr">
        <is>
          <t>R116</t>
        </is>
      </c>
      <c r="B117" t="inlineStr">
        <is>
          <t>Asociación Criminal</t>
        </is>
      </c>
      <c r="C117">
        <f>INDEX(Pesos_Dimensiones!$B$2:$B$22,MATCH(B117,Pesos_Dimensiones!$A$2:$A$22,0))</f>
        <v/>
      </c>
      <c r="D117" t="inlineStr">
        <is>
          <t>Opinión/Actitud — indicador 3 (Minimización del riesgo o daño de asociarse con estructuras delictivas…)</t>
        </is>
      </c>
      <c r="E117" t="inlineStr">
        <is>
          <t>1-Opinión/Actitud</t>
        </is>
      </c>
      <c r="F117" t="n">
        <v>0</v>
      </c>
      <c r="G117" t="n">
        <v>4</v>
      </c>
      <c r="H117" t="inlineStr">
        <is>
          <t>Directo</t>
        </is>
      </c>
      <c r="I117" t="n">
        <v>0</v>
      </c>
      <c r="J117">
        <f>IF(H117="Inverso",G117-I117,I117)</f>
        <v/>
      </c>
      <c r="K117">
        <f>IFERROR(J117/G117,0)</f>
        <v/>
      </c>
      <c r="L117" t="inlineStr">
        <is>
          <t>R115</t>
        </is>
      </c>
      <c r="M117" t="inlineStr">
        <is>
          <t>Si</t>
        </is>
      </c>
      <c r="N117">
        <f>INDEX(Pesos_Dimensiones!$C$2:$C$22,MATCH(B117,Pesos_Dimensiones!$A$2:$A$22,0))</f>
        <v/>
      </c>
      <c r="O117">
        <f>1/COUNTIF($B$2:$B$211,B117)</f>
        <v/>
      </c>
      <c r="P117">
        <f>IF(OR(C117="Base",C117="Adicional"),N117*O117,0)</f>
        <v/>
      </c>
      <c r="Q117">
        <f>K117*P117</f>
        <v/>
      </c>
    </row>
    <row r="118">
      <c r="A118" t="inlineStr">
        <is>
          <t>R117</t>
        </is>
      </c>
      <c r="B118" t="inlineStr">
        <is>
          <t>Asociación Criminal</t>
        </is>
      </c>
      <c r="C118">
        <f>INDEX(Pesos_Dimensiones!$B$2:$B$22,MATCH(B118,Pesos_Dimensiones!$A$2:$A$22,0))</f>
        <v/>
      </c>
      <c r="D118" t="inlineStr">
        <is>
          <t>Involucramiento pasado — indicador 4 (Percepción de beneficio o protección al mantener este tipo de vínculos…)</t>
        </is>
      </c>
      <c r="E118" t="inlineStr">
        <is>
          <t>3-Involucramiento pasado</t>
        </is>
      </c>
      <c r="F118" t="n">
        <v>0</v>
      </c>
      <c r="G118" t="n">
        <v>4</v>
      </c>
      <c r="H118" t="inlineStr">
        <is>
          <t>Directo</t>
        </is>
      </c>
      <c r="I118" t="n">
        <v>0</v>
      </c>
      <c r="J118">
        <f>IF(H118="Inverso",G118-I118,I118)</f>
        <v/>
      </c>
      <c r="K118">
        <f>IFERROR(J118/G118,0)</f>
        <v/>
      </c>
      <c r="L118" t="inlineStr">
        <is>
          <t>R118</t>
        </is>
      </c>
      <c r="M118" t="inlineStr">
        <is>
          <t>Si</t>
        </is>
      </c>
      <c r="N118">
        <f>INDEX(Pesos_Dimensiones!$C$2:$C$22,MATCH(B118,Pesos_Dimensiones!$A$2:$A$22,0))</f>
        <v/>
      </c>
      <c r="O118">
        <f>1/COUNTIF($B$2:$B$211,B118)</f>
        <v/>
      </c>
      <c r="P118">
        <f>IF(OR(C118="Base",C118="Adicional"),N118*O118,0)</f>
        <v/>
      </c>
      <c r="Q118">
        <f>K118*P118</f>
        <v/>
      </c>
    </row>
    <row r="119">
      <c r="A119" t="inlineStr">
        <is>
          <t>R118</t>
        </is>
      </c>
      <c r="B119" t="inlineStr">
        <is>
          <t>Asociación Criminal</t>
        </is>
      </c>
      <c r="C119">
        <f>INDEX(Pesos_Dimensiones!$B$2:$B$22,MATCH(B119,Pesos_Dimensiones!$A$2:$A$22,0))</f>
        <v/>
      </c>
      <c r="D119" t="inlineStr">
        <is>
          <t>Intención futura — indicador 4 (Percepción de beneficio o protección al mantener este tipo de vínculos…)</t>
        </is>
      </c>
      <c r="E119" t="inlineStr">
        <is>
          <t>6-Intención futura</t>
        </is>
      </c>
      <c r="F119" t="n">
        <v>0</v>
      </c>
      <c r="G119" t="n">
        <v>4</v>
      </c>
      <c r="H119" t="inlineStr">
        <is>
          <t>Inverso</t>
        </is>
      </c>
      <c r="I119" t="n">
        <v>0</v>
      </c>
      <c r="J119">
        <f>IF(H119="Inverso",G119-I119,I119)</f>
        <v/>
      </c>
      <c r="K119">
        <f>IFERROR(J119/G119,0)</f>
        <v/>
      </c>
      <c r="L119" t="inlineStr">
        <is>
          <t>R117</t>
        </is>
      </c>
      <c r="M119" t="inlineStr">
        <is>
          <t>Si</t>
        </is>
      </c>
      <c r="N119">
        <f>INDEX(Pesos_Dimensiones!$C$2:$C$22,MATCH(B119,Pesos_Dimensiones!$A$2:$A$22,0))</f>
        <v/>
      </c>
      <c r="O119">
        <f>1/COUNTIF($B$2:$B$211,B119)</f>
        <v/>
      </c>
      <c r="P119">
        <f>IF(OR(C119="Base",C119="Adicional"),N119*O119,0)</f>
        <v/>
      </c>
      <c r="Q119">
        <f>K119*P119</f>
        <v/>
      </c>
    </row>
    <row r="120">
      <c r="A120" t="inlineStr">
        <is>
          <t>R119</t>
        </is>
      </c>
      <c r="B120" t="inlineStr">
        <is>
          <t>Asociación Criminal</t>
        </is>
      </c>
      <c r="C120">
        <f>INDEX(Pesos_Dimensiones!$B$2:$B$22,MATCH(B120,Pesos_Dimensiones!$A$2:$A$22,0))</f>
        <v/>
      </c>
      <c r="D120" t="inlineStr">
        <is>
          <t>Escenario/dilema — indicador 1 (Actitud tolerante hacia convivir o relacionarse con personas de activi…)</t>
        </is>
      </c>
      <c r="E120" t="inlineStr">
        <is>
          <t>4-Escenario/dilema</t>
        </is>
      </c>
      <c r="F120" t="n">
        <v>0</v>
      </c>
      <c r="G120" t="n">
        <v>3</v>
      </c>
      <c r="H120" t="inlineStr">
        <is>
          <t>Directo</t>
        </is>
      </c>
      <c r="I120" t="n">
        <v>0</v>
      </c>
      <c r="J120">
        <f>IF(H120="Inverso",G120-I120,I120)</f>
        <v/>
      </c>
      <c r="K120">
        <f>IFERROR(J120/G120,0)</f>
        <v/>
      </c>
      <c r="L120" t="inlineStr">
        <is>
          <t>R120</t>
        </is>
      </c>
      <c r="M120" t="inlineStr">
        <is>
          <t>Si</t>
        </is>
      </c>
      <c r="N120">
        <f>INDEX(Pesos_Dimensiones!$C$2:$C$22,MATCH(B120,Pesos_Dimensiones!$A$2:$A$22,0))</f>
        <v/>
      </c>
      <c r="O120">
        <f>1/COUNTIF($B$2:$B$211,B120)</f>
        <v/>
      </c>
      <c r="P120">
        <f>IF(OR(C120="Base",C120="Adicional"),N120*O120,0)</f>
        <v/>
      </c>
      <c r="Q120">
        <f>K120*P120</f>
        <v/>
      </c>
    </row>
    <row r="121">
      <c r="A121" t="inlineStr">
        <is>
          <t>R120</t>
        </is>
      </c>
      <c r="B121" t="inlineStr">
        <is>
          <t>Asociación Criminal</t>
        </is>
      </c>
      <c r="C121">
        <f>INDEX(Pesos_Dimensiones!$B$2:$B$22,MATCH(B121,Pesos_Dimensiones!$A$2:$A$22,0))</f>
        <v/>
      </c>
      <c r="D121" t="inlineStr">
        <is>
          <t>Percepción de terceros — indicador 1 (Actitud tolerante hacia convivir o relacionarse con personas de activi…)</t>
        </is>
      </c>
      <c r="E121" t="inlineStr">
        <is>
          <t>2-Percepción de terceros</t>
        </is>
      </c>
      <c r="F121" t="n">
        <v>0</v>
      </c>
      <c r="G121" t="n">
        <v>3</v>
      </c>
      <c r="H121" t="inlineStr">
        <is>
          <t>Directo</t>
        </is>
      </c>
      <c r="I121" t="n">
        <v>0</v>
      </c>
      <c r="J121">
        <f>IF(H121="Inverso",G121-I121,I121)</f>
        <v/>
      </c>
      <c r="K121">
        <f>IFERROR(J121/G121,0)</f>
        <v/>
      </c>
      <c r="L121" t="inlineStr">
        <is>
          <t>R119</t>
        </is>
      </c>
      <c r="M121" t="inlineStr">
        <is>
          <t>Si</t>
        </is>
      </c>
      <c r="N121">
        <f>INDEX(Pesos_Dimensiones!$C$2:$C$22,MATCH(B121,Pesos_Dimensiones!$A$2:$A$22,0))</f>
        <v/>
      </c>
      <c r="O121">
        <f>1/COUNTIF($B$2:$B$211,B121)</f>
        <v/>
      </c>
      <c r="P121">
        <f>IF(OR(C121="Base",C121="Adicional"),N121*O121,0)</f>
        <v/>
      </c>
      <c r="Q121">
        <f>K121*P121</f>
        <v/>
      </c>
    </row>
    <row r="122">
      <c r="A122" t="inlineStr">
        <is>
          <t>R121</t>
        </is>
      </c>
      <c r="B122" t="inlineStr">
        <is>
          <t>Sustancias Lícitas</t>
        </is>
      </c>
      <c r="C122">
        <f>INDEX(Pesos_Dimensiones!$B$2:$B$22,MATCH(B122,Pesos_Dimensiones!$A$2:$A$22,0))</f>
        <v/>
      </c>
      <c r="D122" t="inlineStr">
        <is>
          <t>Opinión/Actitud — indicador 1 (Frecuencia y cantidad declarada de consumo de alcohol o tabaco.)</t>
        </is>
      </c>
      <c r="E122" t="inlineStr">
        <is>
          <t>1-Opinión/Actitud</t>
        </is>
      </c>
      <c r="F122" t="n">
        <v>0</v>
      </c>
      <c r="G122" t="n">
        <v>4</v>
      </c>
      <c r="H122" t="inlineStr">
        <is>
          <t>Directo</t>
        </is>
      </c>
      <c r="I122" t="n">
        <v>0</v>
      </c>
      <c r="J122">
        <f>IF(H122="Inverso",G122-I122,I122)</f>
        <v/>
      </c>
      <c r="K122">
        <f>IFERROR(J122/G122,0)</f>
        <v/>
      </c>
      <c r="L122" t="inlineStr">
        <is>
          <t>R122</t>
        </is>
      </c>
      <c r="M122" t="inlineStr">
        <is>
          <t>Si</t>
        </is>
      </c>
      <c r="N122">
        <f>INDEX(Pesos_Dimensiones!$C$2:$C$22,MATCH(B122,Pesos_Dimensiones!$A$2:$A$22,0))</f>
        <v/>
      </c>
      <c r="O122">
        <f>1/COUNTIF($B$2:$B$211,B122)</f>
        <v/>
      </c>
      <c r="P122">
        <f>IF(OR(C122="Base",C122="Adicional"),N122*O122,0)</f>
        <v/>
      </c>
      <c r="Q122">
        <f>K122*P122</f>
        <v/>
      </c>
    </row>
    <row r="123">
      <c r="A123" t="inlineStr">
        <is>
          <t>R122</t>
        </is>
      </c>
      <c r="B123" t="inlineStr">
        <is>
          <t>Sustancias Lícitas</t>
        </is>
      </c>
      <c r="C123">
        <f>INDEX(Pesos_Dimensiones!$B$2:$B$22,MATCH(B123,Pesos_Dimensiones!$A$2:$A$22,0))</f>
        <v/>
      </c>
      <c r="D123" t="inlineStr">
        <is>
          <t>Intención futura — indicador 1 (Frecuencia y cantidad declarada de consumo de alcohol o tabaco.)</t>
        </is>
      </c>
      <c r="E123" t="inlineStr">
        <is>
          <t>6-Intención futura</t>
        </is>
      </c>
      <c r="F123" t="n">
        <v>0</v>
      </c>
      <c r="G123" t="n">
        <v>4</v>
      </c>
      <c r="H123" t="inlineStr">
        <is>
          <t>Inverso</t>
        </is>
      </c>
      <c r="I123" t="n">
        <v>0</v>
      </c>
      <c r="J123">
        <f>IF(H123="Inverso",G123-I123,I123)</f>
        <v/>
      </c>
      <c r="K123">
        <f>IFERROR(J123/G123,0)</f>
        <v/>
      </c>
      <c r="L123" t="inlineStr">
        <is>
          <t>R121</t>
        </is>
      </c>
      <c r="M123" t="inlineStr">
        <is>
          <t>Si</t>
        </is>
      </c>
      <c r="N123">
        <f>INDEX(Pesos_Dimensiones!$C$2:$C$22,MATCH(B123,Pesos_Dimensiones!$A$2:$A$22,0))</f>
        <v/>
      </c>
      <c r="O123">
        <f>1/COUNTIF($B$2:$B$211,B123)</f>
        <v/>
      </c>
      <c r="P123">
        <f>IF(OR(C123="Base",C123="Adicional"),N123*O123,0)</f>
        <v/>
      </c>
      <c r="Q123">
        <f>K123*P123</f>
        <v/>
      </c>
    </row>
    <row r="124">
      <c r="A124" t="inlineStr">
        <is>
          <t>R123</t>
        </is>
      </c>
      <c r="B124" t="inlineStr">
        <is>
          <t>Sustancias Lícitas</t>
        </is>
      </c>
      <c r="C124">
        <f>INDEX(Pesos_Dimensiones!$B$2:$B$22,MATCH(B124,Pesos_Dimensiones!$A$2:$A$22,0))</f>
        <v/>
      </c>
      <c r="D124" t="inlineStr">
        <is>
          <t>Involucramiento pasado — indicador 2 (Consumo en contextos o momentos donde afecta el desempeño posterior.)</t>
        </is>
      </c>
      <c r="E124" t="inlineStr">
        <is>
          <t>3-Involucramiento pasado</t>
        </is>
      </c>
      <c r="F124" t="n">
        <v>0</v>
      </c>
      <c r="G124" t="n">
        <v>4</v>
      </c>
      <c r="H124" t="inlineStr">
        <is>
          <t>Directo</t>
        </is>
      </c>
      <c r="I124" t="n">
        <v>0</v>
      </c>
      <c r="J124">
        <f>IF(H124="Inverso",G124-I124,I124)</f>
        <v/>
      </c>
      <c r="K124">
        <f>IFERROR(J124/G124,0)</f>
        <v/>
      </c>
      <c r="L124" t="inlineStr">
        <is>
          <t>R124</t>
        </is>
      </c>
      <c r="M124" t="inlineStr">
        <is>
          <t>Si</t>
        </is>
      </c>
      <c r="N124">
        <f>INDEX(Pesos_Dimensiones!$C$2:$C$22,MATCH(B124,Pesos_Dimensiones!$A$2:$A$22,0))</f>
        <v/>
      </c>
      <c r="O124">
        <f>1/COUNTIF($B$2:$B$211,B124)</f>
        <v/>
      </c>
      <c r="P124">
        <f>IF(OR(C124="Base",C124="Adicional"),N124*O124,0)</f>
        <v/>
      </c>
      <c r="Q124">
        <f>K124*P124</f>
        <v/>
      </c>
    </row>
    <row r="125">
      <c r="A125" t="inlineStr">
        <is>
          <t>R124</t>
        </is>
      </c>
      <c r="B125" t="inlineStr">
        <is>
          <t>Sustancias Lícitas</t>
        </is>
      </c>
      <c r="C125">
        <f>INDEX(Pesos_Dimensiones!$B$2:$B$22,MATCH(B125,Pesos_Dimensiones!$A$2:$A$22,0))</f>
        <v/>
      </c>
      <c r="D125" t="inlineStr">
        <is>
          <t>Escenario/dilema — indicador 2 (Consumo en contextos o momentos donde afecta el desempeño posterior.)</t>
        </is>
      </c>
      <c r="E125" t="inlineStr">
        <is>
          <t>4-Escenario/dilema</t>
        </is>
      </c>
      <c r="F125" t="n">
        <v>0</v>
      </c>
      <c r="G125" t="n">
        <v>3</v>
      </c>
      <c r="H125" t="inlineStr">
        <is>
          <t>Directo</t>
        </is>
      </c>
      <c r="I125" t="n">
        <v>0</v>
      </c>
      <c r="J125">
        <f>IF(H125="Inverso",G125-I125,I125)</f>
        <v/>
      </c>
      <c r="K125">
        <f>IFERROR(J125/G125,0)</f>
        <v/>
      </c>
      <c r="L125" t="inlineStr">
        <is>
          <t>R123</t>
        </is>
      </c>
      <c r="M125" t="inlineStr">
        <is>
          <t>Si</t>
        </is>
      </c>
      <c r="N125">
        <f>INDEX(Pesos_Dimensiones!$C$2:$C$22,MATCH(B125,Pesos_Dimensiones!$A$2:$A$22,0))</f>
        <v/>
      </c>
      <c r="O125">
        <f>1/COUNTIF($B$2:$B$211,B125)</f>
        <v/>
      </c>
      <c r="P125">
        <f>IF(OR(C125="Base",C125="Adicional"),N125*O125,0)</f>
        <v/>
      </c>
      <c r="Q125">
        <f>K125*P125</f>
        <v/>
      </c>
    </row>
    <row r="126">
      <c r="A126" t="inlineStr">
        <is>
          <t>R125</t>
        </is>
      </c>
      <c r="B126" t="inlineStr">
        <is>
          <t>Sustancias Lícitas</t>
        </is>
      </c>
      <c r="C126">
        <f>INDEX(Pesos_Dimensiones!$B$2:$B$22,MATCH(B126,Pesos_Dimensiones!$A$2:$A$22,0))</f>
        <v/>
      </c>
      <c r="D126" t="inlineStr">
        <is>
          <t>Percepción de terceros — indicador 3 (Justificación del consumo como forma habitual de manejo del estrés.)</t>
        </is>
      </c>
      <c r="E126" t="inlineStr">
        <is>
          <t>2-Percepción de terceros</t>
        </is>
      </c>
      <c r="F126" t="n">
        <v>0</v>
      </c>
      <c r="G126" t="n">
        <v>3</v>
      </c>
      <c r="H126" t="inlineStr">
        <is>
          <t>Directo</t>
        </is>
      </c>
      <c r="I126" t="n">
        <v>0</v>
      </c>
      <c r="J126">
        <f>IF(H126="Inverso",G126-I126,I126)</f>
        <v/>
      </c>
      <c r="K126">
        <f>IFERROR(J126/G126,0)</f>
        <v/>
      </c>
      <c r="L126" t="inlineStr">
        <is>
          <t>R126</t>
        </is>
      </c>
      <c r="M126" t="inlineStr">
        <is>
          <t>Si</t>
        </is>
      </c>
      <c r="N126">
        <f>INDEX(Pesos_Dimensiones!$C$2:$C$22,MATCH(B126,Pesos_Dimensiones!$A$2:$A$22,0))</f>
        <v/>
      </c>
      <c r="O126">
        <f>1/COUNTIF($B$2:$B$211,B126)</f>
        <v/>
      </c>
      <c r="P126">
        <f>IF(OR(C126="Base",C126="Adicional"),N126*O126,0)</f>
        <v/>
      </c>
      <c r="Q126">
        <f>K126*P126</f>
        <v/>
      </c>
    </row>
    <row r="127">
      <c r="A127" t="inlineStr">
        <is>
          <t>R126</t>
        </is>
      </c>
      <c r="B127" t="inlineStr">
        <is>
          <t>Sustancias Lícitas</t>
        </is>
      </c>
      <c r="C127">
        <f>INDEX(Pesos_Dimensiones!$B$2:$B$22,MATCH(B127,Pesos_Dimensiones!$A$2:$A$22,0))</f>
        <v/>
      </c>
      <c r="D127" t="inlineStr">
        <is>
          <t>Opinión/Actitud — indicador 3 (Justificación del consumo como forma habitual de manejo del estrés.)</t>
        </is>
      </c>
      <c r="E127" t="inlineStr">
        <is>
          <t>1-Opinión/Actitud</t>
        </is>
      </c>
      <c r="F127" t="n">
        <v>0</v>
      </c>
      <c r="G127" t="n">
        <v>4</v>
      </c>
      <c r="H127" t="inlineStr">
        <is>
          <t>Directo</t>
        </is>
      </c>
      <c r="I127" t="n">
        <v>0</v>
      </c>
      <c r="J127">
        <f>IF(H127="Inverso",G127-I127,I127)</f>
        <v/>
      </c>
      <c r="K127">
        <f>IFERROR(J127/G127,0)</f>
        <v/>
      </c>
      <c r="L127" t="inlineStr">
        <is>
          <t>R125</t>
        </is>
      </c>
      <c r="M127" t="inlineStr">
        <is>
          <t>Si</t>
        </is>
      </c>
      <c r="N127">
        <f>INDEX(Pesos_Dimensiones!$C$2:$C$22,MATCH(B127,Pesos_Dimensiones!$A$2:$A$22,0))</f>
        <v/>
      </c>
      <c r="O127">
        <f>1/COUNTIF($B$2:$B$211,B127)</f>
        <v/>
      </c>
      <c r="P127">
        <f>IF(OR(C127="Base",C127="Adicional"),N127*O127,0)</f>
        <v/>
      </c>
      <c r="Q127">
        <f>K127*P127</f>
        <v/>
      </c>
    </row>
    <row r="128">
      <c r="A128" t="inlineStr">
        <is>
          <t>R127</t>
        </is>
      </c>
      <c r="B128" t="inlineStr">
        <is>
          <t>Sustancias Lícitas</t>
        </is>
      </c>
      <c r="C128">
        <f>INDEX(Pesos_Dimensiones!$B$2:$B$22,MATCH(B128,Pesos_Dimensiones!$A$2:$A$22,0))</f>
        <v/>
      </c>
      <c r="D128" t="inlineStr">
        <is>
          <t>Involucramiento pasado — indicador 4 (Percepción de bajo riesgo asociado al propio patrón de consumo.)</t>
        </is>
      </c>
      <c r="E128" t="inlineStr">
        <is>
          <t>3-Involucramiento pasado</t>
        </is>
      </c>
      <c r="F128" t="n">
        <v>0</v>
      </c>
      <c r="G128" t="n">
        <v>4</v>
      </c>
      <c r="H128" t="inlineStr">
        <is>
          <t>Directo</t>
        </is>
      </c>
      <c r="I128" t="n">
        <v>0</v>
      </c>
      <c r="J128">
        <f>IF(H128="Inverso",G128-I128,I128)</f>
        <v/>
      </c>
      <c r="K128">
        <f>IFERROR(J128/G128,0)</f>
        <v/>
      </c>
      <c r="L128" t="inlineStr">
        <is>
          <t>R128</t>
        </is>
      </c>
      <c r="M128" t="inlineStr">
        <is>
          <t>Si</t>
        </is>
      </c>
      <c r="N128">
        <f>INDEX(Pesos_Dimensiones!$C$2:$C$22,MATCH(B128,Pesos_Dimensiones!$A$2:$A$22,0))</f>
        <v/>
      </c>
      <c r="O128">
        <f>1/COUNTIF($B$2:$B$211,B128)</f>
        <v/>
      </c>
      <c r="P128">
        <f>IF(OR(C128="Base",C128="Adicional"),N128*O128,0)</f>
        <v/>
      </c>
      <c r="Q128">
        <f>K128*P128</f>
        <v/>
      </c>
    </row>
    <row r="129">
      <c r="A129" t="inlineStr">
        <is>
          <t>R128</t>
        </is>
      </c>
      <c r="B129" t="inlineStr">
        <is>
          <t>Sustancias Lícitas</t>
        </is>
      </c>
      <c r="C129">
        <f>INDEX(Pesos_Dimensiones!$B$2:$B$22,MATCH(B129,Pesos_Dimensiones!$A$2:$A$22,0))</f>
        <v/>
      </c>
      <c r="D129" t="inlineStr">
        <is>
          <t>Intención futura — indicador 4 (Percepción de bajo riesgo asociado al propio patrón de consumo.)</t>
        </is>
      </c>
      <c r="E129" t="inlineStr">
        <is>
          <t>6-Intención futura</t>
        </is>
      </c>
      <c r="F129" t="n">
        <v>0</v>
      </c>
      <c r="G129" t="n">
        <v>4</v>
      </c>
      <c r="H129" t="inlineStr">
        <is>
          <t>Inverso</t>
        </is>
      </c>
      <c r="I129" t="n">
        <v>0</v>
      </c>
      <c r="J129">
        <f>IF(H129="Inverso",G129-I129,I129)</f>
        <v/>
      </c>
      <c r="K129">
        <f>IFERROR(J129/G129,0)</f>
        <v/>
      </c>
      <c r="L129" t="inlineStr">
        <is>
          <t>R127</t>
        </is>
      </c>
      <c r="M129" t="inlineStr">
        <is>
          <t>Si</t>
        </is>
      </c>
      <c r="N129">
        <f>INDEX(Pesos_Dimensiones!$C$2:$C$22,MATCH(B129,Pesos_Dimensiones!$A$2:$A$22,0))</f>
        <v/>
      </c>
      <c r="O129">
        <f>1/COUNTIF($B$2:$B$211,B129)</f>
        <v/>
      </c>
      <c r="P129">
        <f>IF(OR(C129="Base",C129="Adicional"),N129*O129,0)</f>
        <v/>
      </c>
      <c r="Q129">
        <f>K129*P129</f>
        <v/>
      </c>
    </row>
    <row r="130">
      <c r="A130" t="inlineStr">
        <is>
          <t>R129</t>
        </is>
      </c>
      <c r="B130" t="inlineStr">
        <is>
          <t>Sustancias Lícitas</t>
        </is>
      </c>
      <c r="C130">
        <f>INDEX(Pesos_Dimensiones!$B$2:$B$22,MATCH(B130,Pesos_Dimensiones!$A$2:$A$22,0))</f>
        <v/>
      </c>
      <c r="D130" t="inlineStr">
        <is>
          <t>Escenario/dilema — indicador 1 (Frecuencia y cantidad declarada de consumo de alcohol o tabaco.)</t>
        </is>
      </c>
      <c r="E130" t="inlineStr">
        <is>
          <t>4-Escenario/dilema</t>
        </is>
      </c>
      <c r="F130" t="n">
        <v>0</v>
      </c>
      <c r="G130" t="n">
        <v>3</v>
      </c>
      <c r="H130" t="inlineStr">
        <is>
          <t>Directo</t>
        </is>
      </c>
      <c r="I130" t="n">
        <v>0</v>
      </c>
      <c r="J130">
        <f>IF(H130="Inverso",G130-I130,I130)</f>
        <v/>
      </c>
      <c r="K130">
        <f>IFERROR(J130/G130,0)</f>
        <v/>
      </c>
      <c r="L130" t="inlineStr">
        <is>
          <t>R130</t>
        </is>
      </c>
      <c r="M130" t="inlineStr">
        <is>
          <t>Si</t>
        </is>
      </c>
      <c r="N130">
        <f>INDEX(Pesos_Dimensiones!$C$2:$C$22,MATCH(B130,Pesos_Dimensiones!$A$2:$A$22,0))</f>
        <v/>
      </c>
      <c r="O130">
        <f>1/COUNTIF($B$2:$B$211,B130)</f>
        <v/>
      </c>
      <c r="P130">
        <f>IF(OR(C130="Base",C130="Adicional"),N130*O130,0)</f>
        <v/>
      </c>
      <c r="Q130">
        <f>K130*P130</f>
        <v/>
      </c>
    </row>
    <row r="131">
      <c r="A131" t="inlineStr">
        <is>
          <t>R130</t>
        </is>
      </c>
      <c r="B131" t="inlineStr">
        <is>
          <t>Sustancias Lícitas</t>
        </is>
      </c>
      <c r="C131">
        <f>INDEX(Pesos_Dimensiones!$B$2:$B$22,MATCH(B131,Pesos_Dimensiones!$A$2:$A$22,0))</f>
        <v/>
      </c>
      <c r="D131" t="inlineStr">
        <is>
          <t>Percepción de terceros — indicador 1 (Frecuencia y cantidad declarada de consumo de alcohol o tabaco.)</t>
        </is>
      </c>
      <c r="E131" t="inlineStr">
        <is>
          <t>2-Percepción de terceros</t>
        </is>
      </c>
      <c r="F131" t="n">
        <v>0</v>
      </c>
      <c r="G131" t="n">
        <v>3</v>
      </c>
      <c r="H131" t="inlineStr">
        <is>
          <t>Directo</t>
        </is>
      </c>
      <c r="I131" t="n">
        <v>0</v>
      </c>
      <c r="J131">
        <f>IF(H131="Inverso",G131-I131,I131)</f>
        <v/>
      </c>
      <c r="K131">
        <f>IFERROR(J131/G131,0)</f>
        <v/>
      </c>
      <c r="L131" t="inlineStr">
        <is>
          <t>R129</t>
        </is>
      </c>
      <c r="M131" t="inlineStr">
        <is>
          <t>Si</t>
        </is>
      </c>
      <c r="N131">
        <f>INDEX(Pesos_Dimensiones!$C$2:$C$22,MATCH(B131,Pesos_Dimensiones!$A$2:$A$22,0))</f>
        <v/>
      </c>
      <c r="O131">
        <f>1/COUNTIF($B$2:$B$211,B131)</f>
        <v/>
      </c>
      <c r="P131">
        <f>IF(OR(C131="Base",C131="Adicional"),N131*O131,0)</f>
        <v/>
      </c>
      <c r="Q131">
        <f>K131*P131</f>
        <v/>
      </c>
    </row>
    <row r="132">
      <c r="A132" t="inlineStr">
        <is>
          <t>R131</t>
        </is>
      </c>
      <c r="B132" t="inlineStr">
        <is>
          <t>Sustancias Ilícitas</t>
        </is>
      </c>
      <c r="C132">
        <f>INDEX(Pesos_Dimensiones!$B$2:$B$22,MATCH(B132,Pesos_Dimensiones!$A$2:$A$22,0))</f>
        <v/>
      </c>
      <c r="D132" t="inlineStr">
        <is>
          <t>Opinión/Actitud — indicador 1 (Consumo declarado o tolerancia hacia el consumo de sustancias ilícitas…)</t>
        </is>
      </c>
      <c r="E132" t="inlineStr">
        <is>
          <t>1-Opinión/Actitud</t>
        </is>
      </c>
      <c r="F132" t="n">
        <v>0</v>
      </c>
      <c r="G132" t="n">
        <v>4</v>
      </c>
      <c r="H132" t="inlineStr">
        <is>
          <t>Directo</t>
        </is>
      </c>
      <c r="I132" t="n">
        <v>0</v>
      </c>
      <c r="J132">
        <f>IF(H132="Inverso",G132-I132,I132)</f>
        <v/>
      </c>
      <c r="K132">
        <f>IFERROR(J132/G132,0)</f>
        <v/>
      </c>
      <c r="L132" t="inlineStr">
        <is>
          <t>R132</t>
        </is>
      </c>
      <c r="M132" t="inlineStr">
        <is>
          <t>Si</t>
        </is>
      </c>
      <c r="N132">
        <f>INDEX(Pesos_Dimensiones!$C$2:$C$22,MATCH(B132,Pesos_Dimensiones!$A$2:$A$22,0))</f>
        <v/>
      </c>
      <c r="O132">
        <f>1/COUNTIF($B$2:$B$211,B132)</f>
        <v/>
      </c>
      <c r="P132">
        <f>IF(OR(C132="Base",C132="Adicional"),N132*O132,0)</f>
        <v/>
      </c>
      <c r="Q132">
        <f>K132*P132</f>
        <v/>
      </c>
    </row>
    <row r="133">
      <c r="A133" t="inlineStr">
        <is>
          <t>R132</t>
        </is>
      </c>
      <c r="B133" t="inlineStr">
        <is>
          <t>Sustancias Ilícitas</t>
        </is>
      </c>
      <c r="C133">
        <f>INDEX(Pesos_Dimensiones!$B$2:$B$22,MATCH(B133,Pesos_Dimensiones!$A$2:$A$22,0))</f>
        <v/>
      </c>
      <c r="D133" t="inlineStr">
        <is>
          <t>Intención futura — indicador 1 (Consumo declarado o tolerancia hacia el consumo de sustancias ilícitas…)</t>
        </is>
      </c>
      <c r="E133" t="inlineStr">
        <is>
          <t>6-Intención futura</t>
        </is>
      </c>
      <c r="F133" t="n">
        <v>0</v>
      </c>
      <c r="G133" t="n">
        <v>4</v>
      </c>
      <c r="H133" t="inlineStr">
        <is>
          <t>Inverso</t>
        </is>
      </c>
      <c r="I133" t="n">
        <v>0</v>
      </c>
      <c r="J133">
        <f>IF(H133="Inverso",G133-I133,I133)</f>
        <v/>
      </c>
      <c r="K133">
        <f>IFERROR(J133/G133,0)</f>
        <v/>
      </c>
      <c r="L133" t="inlineStr">
        <is>
          <t>R131</t>
        </is>
      </c>
      <c r="M133" t="inlineStr">
        <is>
          <t>Si</t>
        </is>
      </c>
      <c r="N133">
        <f>INDEX(Pesos_Dimensiones!$C$2:$C$22,MATCH(B133,Pesos_Dimensiones!$A$2:$A$22,0))</f>
        <v/>
      </c>
      <c r="O133">
        <f>1/COUNTIF($B$2:$B$211,B133)</f>
        <v/>
      </c>
      <c r="P133">
        <f>IF(OR(C133="Base",C133="Adicional"),N133*O133,0)</f>
        <v/>
      </c>
      <c r="Q133">
        <f>K133*P133</f>
        <v/>
      </c>
    </row>
    <row r="134">
      <c r="A134" t="inlineStr">
        <is>
          <t>R133</t>
        </is>
      </c>
      <c r="B134" t="inlineStr">
        <is>
          <t>Sustancias Ilícitas</t>
        </is>
      </c>
      <c r="C134">
        <f>INDEX(Pesos_Dimensiones!$B$2:$B$22,MATCH(B134,Pesos_Dimensiones!$A$2:$A$22,0))</f>
        <v/>
      </c>
      <c r="D134" t="inlineStr">
        <is>
          <t>Involucramiento pasado — indicador 2 (Justificación del consumo como "recreativo" o "sin consecuencias".)</t>
        </is>
      </c>
      <c r="E134" t="inlineStr">
        <is>
          <t>3-Involucramiento pasado</t>
        </is>
      </c>
      <c r="F134" t="n">
        <v>0</v>
      </c>
      <c r="G134" t="n">
        <v>4</v>
      </c>
      <c r="H134" t="inlineStr">
        <is>
          <t>Directo</t>
        </is>
      </c>
      <c r="I134" t="n">
        <v>0</v>
      </c>
      <c r="J134">
        <f>IF(H134="Inverso",G134-I134,I134)</f>
        <v/>
      </c>
      <c r="K134">
        <f>IFERROR(J134/G134,0)</f>
        <v/>
      </c>
      <c r="L134" t="inlineStr">
        <is>
          <t>R134</t>
        </is>
      </c>
      <c r="M134" t="inlineStr">
        <is>
          <t>Si</t>
        </is>
      </c>
      <c r="N134">
        <f>INDEX(Pesos_Dimensiones!$C$2:$C$22,MATCH(B134,Pesos_Dimensiones!$A$2:$A$22,0))</f>
        <v/>
      </c>
      <c r="O134">
        <f>1/COUNTIF($B$2:$B$211,B134)</f>
        <v/>
      </c>
      <c r="P134">
        <f>IF(OR(C134="Base",C134="Adicional"),N134*O134,0)</f>
        <v/>
      </c>
      <c r="Q134">
        <f>K134*P134</f>
        <v/>
      </c>
    </row>
    <row r="135">
      <c r="A135" t="inlineStr">
        <is>
          <t>R134</t>
        </is>
      </c>
      <c r="B135" t="inlineStr">
        <is>
          <t>Sustancias Ilícitas</t>
        </is>
      </c>
      <c r="C135">
        <f>INDEX(Pesos_Dimensiones!$B$2:$B$22,MATCH(B135,Pesos_Dimensiones!$A$2:$A$22,0))</f>
        <v/>
      </c>
      <c r="D135" t="inlineStr">
        <is>
          <t>Escenario/dilema — indicador 2 (Justificación del consumo como "recreativo" o "sin consecuencias".)</t>
        </is>
      </c>
      <c r="E135" t="inlineStr">
        <is>
          <t>4-Escenario/dilema</t>
        </is>
      </c>
      <c r="F135" t="n">
        <v>0</v>
      </c>
      <c r="G135" t="n">
        <v>3</v>
      </c>
      <c r="H135" t="inlineStr">
        <is>
          <t>Directo</t>
        </is>
      </c>
      <c r="I135" t="n">
        <v>0</v>
      </c>
      <c r="J135">
        <f>IF(H135="Inverso",G135-I135,I135)</f>
        <v/>
      </c>
      <c r="K135">
        <f>IFERROR(J135/G135,0)</f>
        <v/>
      </c>
      <c r="L135" t="inlineStr">
        <is>
          <t>R133</t>
        </is>
      </c>
      <c r="M135" t="inlineStr">
        <is>
          <t>Si</t>
        </is>
      </c>
      <c r="N135">
        <f>INDEX(Pesos_Dimensiones!$C$2:$C$22,MATCH(B135,Pesos_Dimensiones!$A$2:$A$22,0))</f>
        <v/>
      </c>
      <c r="O135">
        <f>1/COUNTIF($B$2:$B$211,B135)</f>
        <v/>
      </c>
      <c r="P135">
        <f>IF(OR(C135="Base",C135="Adicional"),N135*O135,0)</f>
        <v/>
      </c>
      <c r="Q135">
        <f>K135*P135</f>
        <v/>
      </c>
    </row>
    <row r="136">
      <c r="A136" t="inlineStr">
        <is>
          <t>R135</t>
        </is>
      </c>
      <c r="B136" t="inlineStr">
        <is>
          <t>Sustancias Ilícitas</t>
        </is>
      </c>
      <c r="C136">
        <f>INDEX(Pesos_Dimensiones!$B$2:$B$22,MATCH(B136,Pesos_Dimensiones!$A$2:$A$22,0))</f>
        <v/>
      </c>
      <c r="D136" t="inlineStr">
        <is>
          <t>Percepción de terceros — indicador 3 (Disposición a consumir en contextos de riesgo, antes o durante activid…)</t>
        </is>
      </c>
      <c r="E136" t="inlineStr">
        <is>
          <t>2-Percepción de terceros</t>
        </is>
      </c>
      <c r="F136" t="n">
        <v>0</v>
      </c>
      <c r="G136" t="n">
        <v>3</v>
      </c>
      <c r="H136" t="inlineStr">
        <is>
          <t>Directo</t>
        </is>
      </c>
      <c r="I136" t="n">
        <v>0</v>
      </c>
      <c r="J136">
        <f>IF(H136="Inverso",G136-I136,I136)</f>
        <v/>
      </c>
      <c r="K136">
        <f>IFERROR(J136/G136,0)</f>
        <v/>
      </c>
      <c r="L136" t="inlineStr">
        <is>
          <t>R136</t>
        </is>
      </c>
      <c r="M136" t="inlineStr">
        <is>
          <t>Si</t>
        </is>
      </c>
      <c r="N136">
        <f>INDEX(Pesos_Dimensiones!$C$2:$C$22,MATCH(B136,Pesos_Dimensiones!$A$2:$A$22,0))</f>
        <v/>
      </c>
      <c r="O136">
        <f>1/COUNTIF($B$2:$B$211,B136)</f>
        <v/>
      </c>
      <c r="P136">
        <f>IF(OR(C136="Base",C136="Adicional"),N136*O136,0)</f>
        <v/>
      </c>
      <c r="Q136">
        <f>K136*P136</f>
        <v/>
      </c>
    </row>
    <row r="137">
      <c r="A137" t="inlineStr">
        <is>
          <t>R136</t>
        </is>
      </c>
      <c r="B137" t="inlineStr">
        <is>
          <t>Sustancias Ilícitas</t>
        </is>
      </c>
      <c r="C137">
        <f>INDEX(Pesos_Dimensiones!$B$2:$B$22,MATCH(B137,Pesos_Dimensiones!$A$2:$A$22,0))</f>
        <v/>
      </c>
      <c r="D137" t="inlineStr">
        <is>
          <t>Opinión/Actitud — indicador 3 (Disposición a consumir en contextos de riesgo, antes o durante activid…)</t>
        </is>
      </c>
      <c r="E137" t="inlineStr">
        <is>
          <t>1-Opinión/Actitud</t>
        </is>
      </c>
      <c r="F137" t="n">
        <v>0</v>
      </c>
      <c r="G137" t="n">
        <v>4</v>
      </c>
      <c r="H137" t="inlineStr">
        <is>
          <t>Directo</t>
        </is>
      </c>
      <c r="I137" t="n">
        <v>0</v>
      </c>
      <c r="J137">
        <f>IF(H137="Inverso",G137-I137,I137)</f>
        <v/>
      </c>
      <c r="K137">
        <f>IFERROR(J137/G137,0)</f>
        <v/>
      </c>
      <c r="L137" t="inlineStr">
        <is>
          <t>R135</t>
        </is>
      </c>
      <c r="M137" t="inlineStr">
        <is>
          <t>Si</t>
        </is>
      </c>
      <c r="N137">
        <f>INDEX(Pesos_Dimensiones!$C$2:$C$22,MATCH(B137,Pesos_Dimensiones!$A$2:$A$22,0))</f>
        <v/>
      </c>
      <c r="O137">
        <f>1/COUNTIF($B$2:$B$211,B137)</f>
        <v/>
      </c>
      <c r="P137">
        <f>IF(OR(C137="Base",C137="Adicional"),N137*O137,0)</f>
        <v/>
      </c>
      <c r="Q137">
        <f>K137*P137</f>
        <v/>
      </c>
    </row>
    <row r="138">
      <c r="A138" t="inlineStr">
        <is>
          <t>R137</t>
        </is>
      </c>
      <c r="B138" t="inlineStr">
        <is>
          <t>Sustancias Ilícitas</t>
        </is>
      </c>
      <c r="C138">
        <f>INDEX(Pesos_Dimensiones!$B$2:$B$22,MATCH(B138,Pesos_Dimensiones!$A$2:$A$22,0))</f>
        <v/>
      </c>
      <c r="D138" t="inlineStr">
        <is>
          <t>Involucramiento pasado — indicador 4 (Minimización de las consecuencias legales o laborales del consumo.)</t>
        </is>
      </c>
      <c r="E138" t="inlineStr">
        <is>
          <t>3-Involucramiento pasado</t>
        </is>
      </c>
      <c r="F138" t="n">
        <v>0</v>
      </c>
      <c r="G138" t="n">
        <v>4</v>
      </c>
      <c r="H138" t="inlineStr">
        <is>
          <t>Directo</t>
        </is>
      </c>
      <c r="I138" t="n">
        <v>0</v>
      </c>
      <c r="J138">
        <f>IF(H138="Inverso",G138-I138,I138)</f>
        <v/>
      </c>
      <c r="K138">
        <f>IFERROR(J138/G138,0)</f>
        <v/>
      </c>
      <c r="L138" t="inlineStr">
        <is>
          <t>R138</t>
        </is>
      </c>
      <c r="M138" t="inlineStr">
        <is>
          <t>Si</t>
        </is>
      </c>
      <c r="N138">
        <f>INDEX(Pesos_Dimensiones!$C$2:$C$22,MATCH(B138,Pesos_Dimensiones!$A$2:$A$22,0))</f>
        <v/>
      </c>
      <c r="O138">
        <f>1/COUNTIF($B$2:$B$211,B138)</f>
        <v/>
      </c>
      <c r="P138">
        <f>IF(OR(C138="Base",C138="Adicional"),N138*O138,0)</f>
        <v/>
      </c>
      <c r="Q138">
        <f>K138*P138</f>
        <v/>
      </c>
    </row>
    <row r="139">
      <c r="A139" t="inlineStr">
        <is>
          <t>R138</t>
        </is>
      </c>
      <c r="B139" t="inlineStr">
        <is>
          <t>Sustancias Ilícitas</t>
        </is>
      </c>
      <c r="C139">
        <f>INDEX(Pesos_Dimensiones!$B$2:$B$22,MATCH(B139,Pesos_Dimensiones!$A$2:$A$22,0))</f>
        <v/>
      </c>
      <c r="D139" t="inlineStr">
        <is>
          <t>Intención futura — indicador 4 (Minimización de las consecuencias legales o laborales del consumo.)</t>
        </is>
      </c>
      <c r="E139" t="inlineStr">
        <is>
          <t>6-Intención futura</t>
        </is>
      </c>
      <c r="F139" t="n">
        <v>0</v>
      </c>
      <c r="G139" t="n">
        <v>4</v>
      </c>
      <c r="H139" t="inlineStr">
        <is>
          <t>Inverso</t>
        </is>
      </c>
      <c r="I139" t="n">
        <v>0</v>
      </c>
      <c r="J139">
        <f>IF(H139="Inverso",G139-I139,I139)</f>
        <v/>
      </c>
      <c r="K139">
        <f>IFERROR(J139/G139,0)</f>
        <v/>
      </c>
      <c r="L139" t="inlineStr">
        <is>
          <t>R137</t>
        </is>
      </c>
      <c r="M139" t="inlineStr">
        <is>
          <t>Si</t>
        </is>
      </c>
      <c r="N139">
        <f>INDEX(Pesos_Dimensiones!$C$2:$C$22,MATCH(B139,Pesos_Dimensiones!$A$2:$A$22,0))</f>
        <v/>
      </c>
      <c r="O139">
        <f>1/COUNTIF($B$2:$B$211,B139)</f>
        <v/>
      </c>
      <c r="P139">
        <f>IF(OR(C139="Base",C139="Adicional"),N139*O139,0)</f>
        <v/>
      </c>
      <c r="Q139">
        <f>K139*P139</f>
        <v/>
      </c>
    </row>
    <row r="140">
      <c r="A140" t="inlineStr">
        <is>
          <t>R139</t>
        </is>
      </c>
      <c r="B140" t="inlineStr">
        <is>
          <t>Sustancias Ilícitas</t>
        </is>
      </c>
      <c r="C140">
        <f>INDEX(Pesos_Dimensiones!$B$2:$B$22,MATCH(B140,Pesos_Dimensiones!$A$2:$A$22,0))</f>
        <v/>
      </c>
      <c r="D140" t="inlineStr">
        <is>
          <t>Escenario/dilema — indicador 1 (Consumo declarado o tolerancia hacia el consumo de sustancias ilícitas…)</t>
        </is>
      </c>
      <c r="E140" t="inlineStr">
        <is>
          <t>4-Escenario/dilema</t>
        </is>
      </c>
      <c r="F140" t="n">
        <v>0</v>
      </c>
      <c r="G140" t="n">
        <v>3</v>
      </c>
      <c r="H140" t="inlineStr">
        <is>
          <t>Directo</t>
        </is>
      </c>
      <c r="I140" t="n">
        <v>0</v>
      </c>
      <c r="J140">
        <f>IF(H140="Inverso",G140-I140,I140)</f>
        <v/>
      </c>
      <c r="K140">
        <f>IFERROR(J140/G140,0)</f>
        <v/>
      </c>
      <c r="L140" t="inlineStr">
        <is>
          <t>R140</t>
        </is>
      </c>
      <c r="M140" t="inlineStr">
        <is>
          <t>Si</t>
        </is>
      </c>
      <c r="N140">
        <f>INDEX(Pesos_Dimensiones!$C$2:$C$22,MATCH(B140,Pesos_Dimensiones!$A$2:$A$22,0))</f>
        <v/>
      </c>
      <c r="O140">
        <f>1/COUNTIF($B$2:$B$211,B140)</f>
        <v/>
      </c>
      <c r="P140">
        <f>IF(OR(C140="Base",C140="Adicional"),N140*O140,0)</f>
        <v/>
      </c>
      <c r="Q140">
        <f>K140*P140</f>
        <v/>
      </c>
    </row>
    <row r="141">
      <c r="A141" t="inlineStr">
        <is>
          <t>R140</t>
        </is>
      </c>
      <c r="B141" t="inlineStr">
        <is>
          <t>Sustancias Ilícitas</t>
        </is>
      </c>
      <c r="C141">
        <f>INDEX(Pesos_Dimensiones!$B$2:$B$22,MATCH(B141,Pesos_Dimensiones!$A$2:$A$22,0))</f>
        <v/>
      </c>
      <c r="D141" t="inlineStr">
        <is>
          <t>Percepción de terceros — indicador 1 (Consumo declarado o tolerancia hacia el consumo de sustancias ilícitas…)</t>
        </is>
      </c>
      <c r="E141" t="inlineStr">
        <is>
          <t>2-Percepción de terceros</t>
        </is>
      </c>
      <c r="F141" t="n">
        <v>0</v>
      </c>
      <c r="G141" t="n">
        <v>3</v>
      </c>
      <c r="H141" t="inlineStr">
        <is>
          <t>Directo</t>
        </is>
      </c>
      <c r="I141" t="n">
        <v>0</v>
      </c>
      <c r="J141">
        <f>IF(H141="Inverso",G141-I141,I141)</f>
        <v/>
      </c>
      <c r="K141">
        <f>IFERROR(J141/G141,0)</f>
        <v/>
      </c>
      <c r="L141" t="inlineStr">
        <is>
          <t>R139</t>
        </is>
      </c>
      <c r="M141" t="inlineStr">
        <is>
          <t>Si</t>
        </is>
      </c>
      <c r="N141">
        <f>INDEX(Pesos_Dimensiones!$C$2:$C$22,MATCH(B141,Pesos_Dimensiones!$A$2:$A$22,0))</f>
        <v/>
      </c>
      <c r="O141">
        <f>1/COUNTIF($B$2:$B$211,B141)</f>
        <v/>
      </c>
      <c r="P141">
        <f>IF(OR(C141="Base",C141="Adicional"),N141*O141,0)</f>
        <v/>
      </c>
      <c r="Q141">
        <f>K141*P141</f>
        <v/>
      </c>
    </row>
    <row r="142">
      <c r="A142" t="inlineStr">
        <is>
          <t>R141</t>
        </is>
      </c>
      <c r="B142" t="inlineStr">
        <is>
          <t>Incumplimiento de Normas</t>
        </is>
      </c>
      <c r="C142">
        <f>INDEX(Pesos_Dimensiones!$B$2:$B$22,MATCH(B142,Pesos_Dimensiones!$A$2:$A$22,0))</f>
        <v/>
      </c>
      <c r="D142" t="inlineStr">
        <is>
          <t>Opinión/Actitud — indicador 1 (Actitud favorable hacia "saltarse" reglas cuando resulta conveniente.)</t>
        </is>
      </c>
      <c r="E142" t="inlineStr">
        <is>
          <t>1-Opinión/Actitud</t>
        </is>
      </c>
      <c r="F142" t="n">
        <v>0</v>
      </c>
      <c r="G142" t="n">
        <v>4</v>
      </c>
      <c r="H142" t="inlineStr">
        <is>
          <t>Directo</t>
        </is>
      </c>
      <c r="I142" t="n">
        <v>0</v>
      </c>
      <c r="J142">
        <f>IF(H142="Inverso",G142-I142,I142)</f>
        <v/>
      </c>
      <c r="K142">
        <f>IFERROR(J142/G142,0)</f>
        <v/>
      </c>
      <c r="L142" t="inlineStr">
        <is>
          <t>R142</t>
        </is>
      </c>
      <c r="M142" t="inlineStr">
        <is>
          <t>Si</t>
        </is>
      </c>
      <c r="N142">
        <f>INDEX(Pesos_Dimensiones!$C$2:$C$22,MATCH(B142,Pesos_Dimensiones!$A$2:$A$22,0))</f>
        <v/>
      </c>
      <c r="O142">
        <f>1/COUNTIF($B$2:$B$211,B142)</f>
        <v/>
      </c>
      <c r="P142">
        <f>IF(OR(C142="Base",C142="Adicional"),N142*O142,0)</f>
        <v/>
      </c>
      <c r="Q142">
        <f>K142*P142</f>
        <v/>
      </c>
    </row>
    <row r="143">
      <c r="A143" t="inlineStr">
        <is>
          <t>R142</t>
        </is>
      </c>
      <c r="B143" t="inlineStr">
        <is>
          <t>Incumplimiento de Normas</t>
        </is>
      </c>
      <c r="C143">
        <f>INDEX(Pesos_Dimensiones!$B$2:$B$22,MATCH(B143,Pesos_Dimensiones!$A$2:$A$22,0))</f>
        <v/>
      </c>
      <c r="D143" t="inlineStr">
        <is>
          <t>Intención futura — indicador 1 (Actitud favorable hacia "saltarse" reglas cuando resulta conveniente.)</t>
        </is>
      </c>
      <c r="E143" t="inlineStr">
        <is>
          <t>6-Intención futura</t>
        </is>
      </c>
      <c r="F143" t="n">
        <v>0</v>
      </c>
      <c r="G143" t="n">
        <v>4</v>
      </c>
      <c r="H143" t="inlineStr">
        <is>
          <t>Inverso</t>
        </is>
      </c>
      <c r="I143" t="n">
        <v>0</v>
      </c>
      <c r="J143">
        <f>IF(H143="Inverso",G143-I143,I143)</f>
        <v/>
      </c>
      <c r="K143">
        <f>IFERROR(J143/G143,0)</f>
        <v/>
      </c>
      <c r="L143" t="inlineStr">
        <is>
          <t>R141</t>
        </is>
      </c>
      <c r="M143" t="inlineStr">
        <is>
          <t>Si</t>
        </is>
      </c>
      <c r="N143">
        <f>INDEX(Pesos_Dimensiones!$C$2:$C$22,MATCH(B143,Pesos_Dimensiones!$A$2:$A$22,0))</f>
        <v/>
      </c>
      <c r="O143">
        <f>1/COUNTIF($B$2:$B$211,B143)</f>
        <v/>
      </c>
      <c r="P143">
        <f>IF(OR(C143="Base",C143="Adicional"),N143*O143,0)</f>
        <v/>
      </c>
      <c r="Q143">
        <f>K143*P143</f>
        <v/>
      </c>
    </row>
    <row r="144">
      <c r="A144" t="inlineStr">
        <is>
          <t>R143</t>
        </is>
      </c>
      <c r="B144" t="inlineStr">
        <is>
          <t>Incumplimiento de Normas</t>
        </is>
      </c>
      <c r="C144">
        <f>INDEX(Pesos_Dimensiones!$B$2:$B$22,MATCH(B144,Pesos_Dimensiones!$A$2:$A$22,0))</f>
        <v/>
      </c>
      <c r="D144" t="inlineStr">
        <is>
          <t>Involucramiento pasado — indicador 2 (Justificación del incumplimiento normativo cuando la norma "no tiene s…)</t>
        </is>
      </c>
      <c r="E144" t="inlineStr">
        <is>
          <t>3-Involucramiento pasado</t>
        </is>
      </c>
      <c r="F144" t="n">
        <v>0</v>
      </c>
      <c r="G144" t="n">
        <v>4</v>
      </c>
      <c r="H144" t="inlineStr">
        <is>
          <t>Directo</t>
        </is>
      </c>
      <c r="I144" t="n">
        <v>0</v>
      </c>
      <c r="J144">
        <f>IF(H144="Inverso",G144-I144,I144)</f>
        <v/>
      </c>
      <c r="K144">
        <f>IFERROR(J144/G144,0)</f>
        <v/>
      </c>
      <c r="L144" t="inlineStr">
        <is>
          <t>R144</t>
        </is>
      </c>
      <c r="M144" t="inlineStr">
        <is>
          <t>Si</t>
        </is>
      </c>
      <c r="N144">
        <f>INDEX(Pesos_Dimensiones!$C$2:$C$22,MATCH(B144,Pesos_Dimensiones!$A$2:$A$22,0))</f>
        <v/>
      </c>
      <c r="O144">
        <f>1/COUNTIF($B$2:$B$211,B144)</f>
        <v/>
      </c>
      <c r="P144">
        <f>IF(OR(C144="Base",C144="Adicional"),N144*O144,0)</f>
        <v/>
      </c>
      <c r="Q144">
        <f>K144*P144</f>
        <v/>
      </c>
    </row>
    <row r="145">
      <c r="A145" t="inlineStr">
        <is>
          <t>R144</t>
        </is>
      </c>
      <c r="B145" t="inlineStr">
        <is>
          <t>Incumplimiento de Normas</t>
        </is>
      </c>
      <c r="C145">
        <f>INDEX(Pesos_Dimensiones!$B$2:$B$22,MATCH(B145,Pesos_Dimensiones!$A$2:$A$22,0))</f>
        <v/>
      </c>
      <c r="D145" t="inlineStr">
        <is>
          <t>Escenario/dilema — indicador 2 (Justificación del incumplimiento normativo cuando la norma "no tiene s…)</t>
        </is>
      </c>
      <c r="E145" t="inlineStr">
        <is>
          <t>4-Escenario/dilema</t>
        </is>
      </c>
      <c r="F145" t="n">
        <v>0</v>
      </c>
      <c r="G145" t="n">
        <v>3</v>
      </c>
      <c r="H145" t="inlineStr">
        <is>
          <t>Directo</t>
        </is>
      </c>
      <c r="I145" t="n">
        <v>0</v>
      </c>
      <c r="J145">
        <f>IF(H145="Inverso",G145-I145,I145)</f>
        <v/>
      </c>
      <c r="K145">
        <f>IFERROR(J145/G145,0)</f>
        <v/>
      </c>
      <c r="L145" t="inlineStr">
        <is>
          <t>R143</t>
        </is>
      </c>
      <c r="M145" t="inlineStr">
        <is>
          <t>Si</t>
        </is>
      </c>
      <c r="N145">
        <f>INDEX(Pesos_Dimensiones!$C$2:$C$22,MATCH(B145,Pesos_Dimensiones!$A$2:$A$22,0))</f>
        <v/>
      </c>
      <c r="O145">
        <f>1/COUNTIF($B$2:$B$211,B145)</f>
        <v/>
      </c>
      <c r="P145">
        <f>IF(OR(C145="Base",C145="Adicional"),N145*O145,0)</f>
        <v/>
      </c>
      <c r="Q145">
        <f>K145*P145</f>
        <v/>
      </c>
    </row>
    <row r="146">
      <c r="A146" t="inlineStr">
        <is>
          <t>R145</t>
        </is>
      </c>
      <c r="B146" t="inlineStr">
        <is>
          <t>Incumplimiento de Normas</t>
        </is>
      </c>
      <c r="C146">
        <f>INDEX(Pesos_Dimensiones!$B$2:$B$22,MATCH(B146,Pesos_Dimensiones!$A$2:$A$22,0))</f>
        <v/>
      </c>
      <c r="D146" t="inlineStr">
        <is>
          <t>Percepción de terceros — indicador 3 (Frecuencia declarada de infracciones menores (tránsito, reglamentos in…)</t>
        </is>
      </c>
      <c r="E146" t="inlineStr">
        <is>
          <t>2-Percepción de terceros</t>
        </is>
      </c>
      <c r="F146" t="n">
        <v>0</v>
      </c>
      <c r="G146" t="n">
        <v>3</v>
      </c>
      <c r="H146" t="inlineStr">
        <is>
          <t>Directo</t>
        </is>
      </c>
      <c r="I146" t="n">
        <v>0</v>
      </c>
      <c r="J146">
        <f>IF(H146="Inverso",G146-I146,I146)</f>
        <v/>
      </c>
      <c r="K146">
        <f>IFERROR(J146/G146,0)</f>
        <v/>
      </c>
      <c r="L146" t="inlineStr">
        <is>
          <t>R146</t>
        </is>
      </c>
      <c r="M146" t="inlineStr">
        <is>
          <t>Si</t>
        </is>
      </c>
      <c r="N146">
        <f>INDEX(Pesos_Dimensiones!$C$2:$C$22,MATCH(B146,Pesos_Dimensiones!$A$2:$A$22,0))</f>
        <v/>
      </c>
      <c r="O146">
        <f>1/COUNTIF($B$2:$B$211,B146)</f>
        <v/>
      </c>
      <c r="P146">
        <f>IF(OR(C146="Base",C146="Adicional"),N146*O146,0)</f>
        <v/>
      </c>
      <c r="Q146">
        <f>K146*P146</f>
        <v/>
      </c>
    </row>
    <row r="147">
      <c r="A147" t="inlineStr">
        <is>
          <t>R146</t>
        </is>
      </c>
      <c r="B147" t="inlineStr">
        <is>
          <t>Incumplimiento de Normas</t>
        </is>
      </c>
      <c r="C147">
        <f>INDEX(Pesos_Dimensiones!$B$2:$B$22,MATCH(B147,Pesos_Dimensiones!$A$2:$A$22,0))</f>
        <v/>
      </c>
      <c r="D147" t="inlineStr">
        <is>
          <t>Opinión/Actitud — indicador 3 (Frecuencia declarada de infracciones menores (tránsito, reglamentos in…)</t>
        </is>
      </c>
      <c r="E147" t="inlineStr">
        <is>
          <t>1-Opinión/Actitud</t>
        </is>
      </c>
      <c r="F147" t="n">
        <v>0</v>
      </c>
      <c r="G147" t="n">
        <v>4</v>
      </c>
      <c r="H147" t="inlineStr">
        <is>
          <t>Directo</t>
        </is>
      </c>
      <c r="I147" t="n">
        <v>0</v>
      </c>
      <c r="J147">
        <f>IF(H147="Inverso",G147-I147,I147)</f>
        <v/>
      </c>
      <c r="K147">
        <f>IFERROR(J147/G147,0)</f>
        <v/>
      </c>
      <c r="L147" t="inlineStr">
        <is>
          <t>R145</t>
        </is>
      </c>
      <c r="M147" t="inlineStr">
        <is>
          <t>Si</t>
        </is>
      </c>
      <c r="N147">
        <f>INDEX(Pesos_Dimensiones!$C$2:$C$22,MATCH(B147,Pesos_Dimensiones!$A$2:$A$22,0))</f>
        <v/>
      </c>
      <c r="O147">
        <f>1/COUNTIF($B$2:$B$211,B147)</f>
        <v/>
      </c>
      <c r="P147">
        <f>IF(OR(C147="Base",C147="Adicional"),N147*O147,0)</f>
        <v/>
      </c>
      <c r="Q147">
        <f>K147*P147</f>
        <v/>
      </c>
    </row>
    <row r="148">
      <c r="A148" t="inlineStr">
        <is>
          <t>R147</t>
        </is>
      </c>
      <c r="B148" t="inlineStr">
        <is>
          <t>Incumplimiento de Normas</t>
        </is>
      </c>
      <c r="C148">
        <f>INDEX(Pesos_Dimensiones!$B$2:$B$22,MATCH(B148,Pesos_Dimensiones!$A$2:$A$22,0))</f>
        <v/>
      </c>
      <c r="D148" t="inlineStr">
        <is>
          <t>Involucramiento pasado — indicador 4 (Percepción de baja probabilidad de sanción por incumplir normas.)</t>
        </is>
      </c>
      <c r="E148" t="inlineStr">
        <is>
          <t>3-Involucramiento pasado</t>
        </is>
      </c>
      <c r="F148" t="n">
        <v>0</v>
      </c>
      <c r="G148" t="n">
        <v>4</v>
      </c>
      <c r="H148" t="inlineStr">
        <is>
          <t>Directo</t>
        </is>
      </c>
      <c r="I148" t="n">
        <v>0</v>
      </c>
      <c r="J148">
        <f>IF(H148="Inverso",G148-I148,I148)</f>
        <v/>
      </c>
      <c r="K148">
        <f>IFERROR(J148/G148,0)</f>
        <v/>
      </c>
      <c r="L148" t="inlineStr">
        <is>
          <t>R148</t>
        </is>
      </c>
      <c r="M148" t="inlineStr">
        <is>
          <t>Si</t>
        </is>
      </c>
      <c r="N148">
        <f>INDEX(Pesos_Dimensiones!$C$2:$C$22,MATCH(B148,Pesos_Dimensiones!$A$2:$A$22,0))</f>
        <v/>
      </c>
      <c r="O148">
        <f>1/COUNTIF($B$2:$B$211,B148)</f>
        <v/>
      </c>
      <c r="P148">
        <f>IF(OR(C148="Base",C148="Adicional"),N148*O148,0)</f>
        <v/>
      </c>
      <c r="Q148">
        <f>K148*P148</f>
        <v/>
      </c>
    </row>
    <row r="149">
      <c r="A149" t="inlineStr">
        <is>
          <t>R148</t>
        </is>
      </c>
      <c r="B149" t="inlineStr">
        <is>
          <t>Incumplimiento de Normas</t>
        </is>
      </c>
      <c r="C149">
        <f>INDEX(Pesos_Dimensiones!$B$2:$B$22,MATCH(B149,Pesos_Dimensiones!$A$2:$A$22,0))</f>
        <v/>
      </c>
      <c r="D149" t="inlineStr">
        <is>
          <t>Intención futura — indicador 4 (Percepción de baja probabilidad de sanción por incumplir normas.)</t>
        </is>
      </c>
      <c r="E149" t="inlineStr">
        <is>
          <t>6-Intención futura</t>
        </is>
      </c>
      <c r="F149" t="n">
        <v>0</v>
      </c>
      <c r="G149" t="n">
        <v>4</v>
      </c>
      <c r="H149" t="inlineStr">
        <is>
          <t>Inverso</t>
        </is>
      </c>
      <c r="I149" t="n">
        <v>0</v>
      </c>
      <c r="J149">
        <f>IF(H149="Inverso",G149-I149,I149)</f>
        <v/>
      </c>
      <c r="K149">
        <f>IFERROR(J149/G149,0)</f>
        <v/>
      </c>
      <c r="L149" t="inlineStr">
        <is>
          <t>R147</t>
        </is>
      </c>
      <c r="M149" t="inlineStr">
        <is>
          <t>Si</t>
        </is>
      </c>
      <c r="N149">
        <f>INDEX(Pesos_Dimensiones!$C$2:$C$22,MATCH(B149,Pesos_Dimensiones!$A$2:$A$22,0))</f>
        <v/>
      </c>
      <c r="O149">
        <f>1/COUNTIF($B$2:$B$211,B149)</f>
        <v/>
      </c>
      <c r="P149">
        <f>IF(OR(C149="Base",C149="Adicional"),N149*O149,0)</f>
        <v/>
      </c>
      <c r="Q149">
        <f>K149*P149</f>
        <v/>
      </c>
    </row>
    <row r="150">
      <c r="A150" t="inlineStr">
        <is>
          <t>R149</t>
        </is>
      </c>
      <c r="B150" t="inlineStr">
        <is>
          <t>Incumplimiento de Normas</t>
        </is>
      </c>
      <c r="C150">
        <f>INDEX(Pesos_Dimensiones!$B$2:$B$22,MATCH(B150,Pesos_Dimensiones!$A$2:$A$22,0))</f>
        <v/>
      </c>
      <c r="D150" t="inlineStr">
        <is>
          <t>Escenario/dilema — indicador 1 (Actitud favorable hacia "saltarse" reglas cuando resulta conveniente.)</t>
        </is>
      </c>
      <c r="E150" t="inlineStr">
        <is>
          <t>4-Escenario/dilema</t>
        </is>
      </c>
      <c r="F150" t="n">
        <v>0</v>
      </c>
      <c r="G150" t="n">
        <v>3</v>
      </c>
      <c r="H150" t="inlineStr">
        <is>
          <t>Directo</t>
        </is>
      </c>
      <c r="I150" t="n">
        <v>0</v>
      </c>
      <c r="J150">
        <f>IF(H150="Inverso",G150-I150,I150)</f>
        <v/>
      </c>
      <c r="K150">
        <f>IFERROR(J150/G150,0)</f>
        <v/>
      </c>
      <c r="L150" t="inlineStr">
        <is>
          <t>R150</t>
        </is>
      </c>
      <c r="M150" t="inlineStr">
        <is>
          <t>Si</t>
        </is>
      </c>
      <c r="N150">
        <f>INDEX(Pesos_Dimensiones!$C$2:$C$22,MATCH(B150,Pesos_Dimensiones!$A$2:$A$22,0))</f>
        <v/>
      </c>
      <c r="O150">
        <f>1/COUNTIF($B$2:$B$211,B150)</f>
        <v/>
      </c>
      <c r="P150">
        <f>IF(OR(C150="Base",C150="Adicional"),N150*O150,0)</f>
        <v/>
      </c>
      <c r="Q150">
        <f>K150*P150</f>
        <v/>
      </c>
    </row>
    <row r="151">
      <c r="A151" t="inlineStr">
        <is>
          <t>R150</t>
        </is>
      </c>
      <c r="B151" t="inlineStr">
        <is>
          <t>Incumplimiento de Normas</t>
        </is>
      </c>
      <c r="C151">
        <f>INDEX(Pesos_Dimensiones!$B$2:$B$22,MATCH(B151,Pesos_Dimensiones!$A$2:$A$22,0))</f>
        <v/>
      </c>
      <c r="D151" t="inlineStr">
        <is>
          <t>Percepción de terceros — indicador 1 (Actitud favorable hacia "saltarse" reglas cuando resulta conveniente.)</t>
        </is>
      </c>
      <c r="E151" t="inlineStr">
        <is>
          <t>2-Percepción de terceros</t>
        </is>
      </c>
      <c r="F151" t="n">
        <v>0</v>
      </c>
      <c r="G151" t="n">
        <v>3</v>
      </c>
      <c r="H151" t="inlineStr">
        <is>
          <t>Directo</t>
        </is>
      </c>
      <c r="I151" t="n">
        <v>0</v>
      </c>
      <c r="J151">
        <f>IF(H151="Inverso",G151-I151,I151)</f>
        <v/>
      </c>
      <c r="K151">
        <f>IFERROR(J151/G151,0)</f>
        <v/>
      </c>
      <c r="L151" t="inlineStr">
        <is>
          <t>R149</t>
        </is>
      </c>
      <c r="M151" t="inlineStr">
        <is>
          <t>Si</t>
        </is>
      </c>
      <c r="N151">
        <f>INDEX(Pesos_Dimensiones!$C$2:$C$22,MATCH(B151,Pesos_Dimensiones!$A$2:$A$22,0))</f>
        <v/>
      </c>
      <c r="O151">
        <f>1/COUNTIF($B$2:$B$211,B151)</f>
        <v/>
      </c>
      <c r="P151">
        <f>IF(OR(C151="Base",C151="Adicional"),N151*O151,0)</f>
        <v/>
      </c>
      <c r="Q151">
        <f>K151*P151</f>
        <v/>
      </c>
    </row>
    <row r="152">
      <c r="A152" t="inlineStr">
        <is>
          <t>R151</t>
        </is>
      </c>
      <c r="B152" t="inlineStr">
        <is>
          <t>Deudas</t>
        </is>
      </c>
      <c r="C152">
        <f>INDEX(Pesos_Dimensiones!$B$2:$B$22,MATCH(B152,Pesos_Dimensiones!$A$2:$A$22,0))</f>
        <v/>
      </c>
      <c r="D152" t="inlineStr">
        <is>
          <t>Opinión/Actitud — indicador 1 (Uso frecuente de deuda para adquirir bienes no esenciales.)</t>
        </is>
      </c>
      <c r="E152" t="inlineStr">
        <is>
          <t>1-Opinión/Actitud</t>
        </is>
      </c>
      <c r="F152" t="n">
        <v>0</v>
      </c>
      <c r="G152" t="n">
        <v>4</v>
      </c>
      <c r="H152" t="inlineStr">
        <is>
          <t>Directo</t>
        </is>
      </c>
      <c r="I152" t="n">
        <v>0</v>
      </c>
      <c r="J152">
        <f>IF(H152="Inverso",G152-I152,I152)</f>
        <v/>
      </c>
      <c r="K152">
        <f>IFERROR(J152/G152,0)</f>
        <v/>
      </c>
      <c r="L152" t="inlineStr">
        <is>
          <t>R152</t>
        </is>
      </c>
      <c r="M152" t="inlineStr">
        <is>
          <t>Si</t>
        </is>
      </c>
      <c r="N152">
        <f>INDEX(Pesos_Dimensiones!$C$2:$C$22,MATCH(B152,Pesos_Dimensiones!$A$2:$A$22,0))</f>
        <v/>
      </c>
      <c r="O152">
        <f>1/COUNTIF($B$2:$B$211,B152)</f>
        <v/>
      </c>
      <c r="P152">
        <f>IF(OR(C152="Base",C152="Adicional"),N152*O152,0)</f>
        <v/>
      </c>
      <c r="Q152">
        <f>K152*P152</f>
        <v/>
      </c>
    </row>
    <row r="153">
      <c r="A153" t="inlineStr">
        <is>
          <t>R152</t>
        </is>
      </c>
      <c r="B153" t="inlineStr">
        <is>
          <t>Deudas</t>
        </is>
      </c>
      <c r="C153">
        <f>INDEX(Pesos_Dimensiones!$B$2:$B$22,MATCH(B153,Pesos_Dimensiones!$A$2:$A$22,0))</f>
        <v/>
      </c>
      <c r="D153" t="inlineStr">
        <is>
          <t>Intención futura — indicador 1 (Uso frecuente de deuda para adquirir bienes no esenciales.)</t>
        </is>
      </c>
      <c r="E153" t="inlineStr">
        <is>
          <t>6-Intención futura</t>
        </is>
      </c>
      <c r="F153" t="n">
        <v>0</v>
      </c>
      <c r="G153" t="n">
        <v>4</v>
      </c>
      <c r="H153" t="inlineStr">
        <is>
          <t>Inverso</t>
        </is>
      </c>
      <c r="I153" t="n">
        <v>0</v>
      </c>
      <c r="J153">
        <f>IF(H153="Inverso",G153-I153,I153)</f>
        <v/>
      </c>
      <c r="K153">
        <f>IFERROR(J153/G153,0)</f>
        <v/>
      </c>
      <c r="L153" t="inlineStr">
        <is>
          <t>R151</t>
        </is>
      </c>
      <c r="M153" t="inlineStr">
        <is>
          <t>Si</t>
        </is>
      </c>
      <c r="N153">
        <f>INDEX(Pesos_Dimensiones!$C$2:$C$22,MATCH(B153,Pesos_Dimensiones!$A$2:$A$22,0))</f>
        <v/>
      </c>
      <c r="O153">
        <f>1/COUNTIF($B$2:$B$211,B153)</f>
        <v/>
      </c>
      <c r="P153">
        <f>IF(OR(C153="Base",C153="Adicional"),N153*O153,0)</f>
        <v/>
      </c>
      <c r="Q153">
        <f>K153*P153</f>
        <v/>
      </c>
    </row>
    <row r="154">
      <c r="A154" t="inlineStr">
        <is>
          <t>R153</t>
        </is>
      </c>
      <c r="B154" t="inlineStr">
        <is>
          <t>Deudas</t>
        </is>
      </c>
      <c r="C154">
        <f>INDEX(Pesos_Dimensiones!$B$2:$B$22,MATCH(B154,Pesos_Dimensiones!$A$2:$A$22,0))</f>
        <v/>
      </c>
      <c r="D154" t="inlineStr">
        <is>
          <t>Involucramiento pasado — indicador 2 (Presencia declarada de múltiples compromisos de deuda simultáneos.)</t>
        </is>
      </c>
      <c r="E154" t="inlineStr">
        <is>
          <t>3-Involucramiento pasado</t>
        </is>
      </c>
      <c r="F154" t="n">
        <v>0</v>
      </c>
      <c r="G154" t="n">
        <v>4</v>
      </c>
      <c r="H154" t="inlineStr">
        <is>
          <t>Directo</t>
        </is>
      </c>
      <c r="I154" t="n">
        <v>0</v>
      </c>
      <c r="J154">
        <f>IF(H154="Inverso",G154-I154,I154)</f>
        <v/>
      </c>
      <c r="K154">
        <f>IFERROR(J154/G154,0)</f>
        <v/>
      </c>
      <c r="L154" t="inlineStr">
        <is>
          <t>R154</t>
        </is>
      </c>
      <c r="M154" t="inlineStr">
        <is>
          <t>Si</t>
        </is>
      </c>
      <c r="N154">
        <f>INDEX(Pesos_Dimensiones!$C$2:$C$22,MATCH(B154,Pesos_Dimensiones!$A$2:$A$22,0))</f>
        <v/>
      </c>
      <c r="O154">
        <f>1/COUNTIF($B$2:$B$211,B154)</f>
        <v/>
      </c>
      <c r="P154">
        <f>IF(OR(C154="Base",C154="Adicional"),N154*O154,0)</f>
        <v/>
      </c>
      <c r="Q154">
        <f>K154*P154</f>
        <v/>
      </c>
    </row>
    <row r="155">
      <c r="A155" t="inlineStr">
        <is>
          <t>R154</t>
        </is>
      </c>
      <c r="B155" t="inlineStr">
        <is>
          <t>Deudas</t>
        </is>
      </c>
      <c r="C155">
        <f>INDEX(Pesos_Dimensiones!$B$2:$B$22,MATCH(B155,Pesos_Dimensiones!$A$2:$A$22,0))</f>
        <v/>
      </c>
      <c r="D155" t="inlineStr">
        <is>
          <t>Escenario/dilema — indicador 2 (Presencia declarada de múltiples compromisos de deuda simultáneos.)</t>
        </is>
      </c>
      <c r="E155" t="inlineStr">
        <is>
          <t>4-Escenario/dilema</t>
        </is>
      </c>
      <c r="F155" t="n">
        <v>0</v>
      </c>
      <c r="G155" t="n">
        <v>3</v>
      </c>
      <c r="H155" t="inlineStr">
        <is>
          <t>Directo</t>
        </is>
      </c>
      <c r="I155" t="n">
        <v>0</v>
      </c>
      <c r="J155">
        <f>IF(H155="Inverso",G155-I155,I155)</f>
        <v/>
      </c>
      <c r="K155">
        <f>IFERROR(J155/G155,0)</f>
        <v/>
      </c>
      <c r="L155" t="inlineStr">
        <is>
          <t>R153</t>
        </is>
      </c>
      <c r="M155" t="inlineStr">
        <is>
          <t>Si</t>
        </is>
      </c>
      <c r="N155">
        <f>INDEX(Pesos_Dimensiones!$C$2:$C$22,MATCH(B155,Pesos_Dimensiones!$A$2:$A$22,0))</f>
        <v/>
      </c>
      <c r="O155">
        <f>1/COUNTIF($B$2:$B$211,B155)</f>
        <v/>
      </c>
      <c r="P155">
        <f>IF(OR(C155="Base",C155="Adicional"),N155*O155,0)</f>
        <v/>
      </c>
      <c r="Q155">
        <f>K155*P155</f>
        <v/>
      </c>
    </row>
    <row r="156">
      <c r="A156" t="inlineStr">
        <is>
          <t>R155</t>
        </is>
      </c>
      <c r="B156" t="inlineStr">
        <is>
          <t>Deudas</t>
        </is>
      </c>
      <c r="C156">
        <f>INDEX(Pesos_Dimensiones!$B$2:$B$22,MATCH(B156,Pesos_Dimensiones!$A$2:$A$22,0))</f>
        <v/>
      </c>
      <c r="D156" t="inlineStr">
        <is>
          <t>Percepción de terceros — indicador 3 (Dificultad declarada para cumplir con obligaciones de pago asumidas.)</t>
        </is>
      </c>
      <c r="E156" t="inlineStr">
        <is>
          <t>2-Percepción de terceros</t>
        </is>
      </c>
      <c r="F156" t="n">
        <v>0</v>
      </c>
      <c r="G156" t="n">
        <v>3</v>
      </c>
      <c r="H156" t="inlineStr">
        <is>
          <t>Directo</t>
        </is>
      </c>
      <c r="I156" t="n">
        <v>0</v>
      </c>
      <c r="J156">
        <f>IF(H156="Inverso",G156-I156,I156)</f>
        <v/>
      </c>
      <c r="K156">
        <f>IFERROR(J156/G156,0)</f>
        <v/>
      </c>
      <c r="L156" t="inlineStr">
        <is>
          <t>R156</t>
        </is>
      </c>
      <c r="M156" t="inlineStr">
        <is>
          <t>Si</t>
        </is>
      </c>
      <c r="N156">
        <f>INDEX(Pesos_Dimensiones!$C$2:$C$22,MATCH(B156,Pesos_Dimensiones!$A$2:$A$22,0))</f>
        <v/>
      </c>
      <c r="O156">
        <f>1/COUNTIF($B$2:$B$211,B156)</f>
        <v/>
      </c>
      <c r="P156">
        <f>IF(OR(C156="Base",C156="Adicional"),N156*O156,0)</f>
        <v/>
      </c>
      <c r="Q156">
        <f>K156*P156</f>
        <v/>
      </c>
    </row>
    <row r="157">
      <c r="A157" t="inlineStr">
        <is>
          <t>R156</t>
        </is>
      </c>
      <c r="B157" t="inlineStr">
        <is>
          <t>Deudas</t>
        </is>
      </c>
      <c r="C157">
        <f>INDEX(Pesos_Dimensiones!$B$2:$B$22,MATCH(B157,Pesos_Dimensiones!$A$2:$A$22,0))</f>
        <v/>
      </c>
      <c r="D157" t="inlineStr">
        <is>
          <t>Opinión/Actitud — indicador 3 (Dificultad declarada para cumplir con obligaciones de pago asumidas.)</t>
        </is>
      </c>
      <c r="E157" t="inlineStr">
        <is>
          <t>1-Opinión/Actitud</t>
        </is>
      </c>
      <c r="F157" t="n">
        <v>0</v>
      </c>
      <c r="G157" t="n">
        <v>4</v>
      </c>
      <c r="H157" t="inlineStr">
        <is>
          <t>Directo</t>
        </is>
      </c>
      <c r="I157" t="n">
        <v>0</v>
      </c>
      <c r="J157">
        <f>IF(H157="Inverso",G157-I157,I157)</f>
        <v/>
      </c>
      <c r="K157">
        <f>IFERROR(J157/G157,0)</f>
        <v/>
      </c>
      <c r="L157" t="inlineStr">
        <is>
          <t>R155</t>
        </is>
      </c>
      <c r="M157" t="inlineStr">
        <is>
          <t>Si</t>
        </is>
      </c>
      <c r="N157">
        <f>INDEX(Pesos_Dimensiones!$C$2:$C$22,MATCH(B157,Pesos_Dimensiones!$A$2:$A$22,0))</f>
        <v/>
      </c>
      <c r="O157">
        <f>1/COUNTIF($B$2:$B$211,B157)</f>
        <v/>
      </c>
      <c r="P157">
        <f>IF(OR(C157="Base",C157="Adicional"),N157*O157,0)</f>
        <v/>
      </c>
      <c r="Q157">
        <f>K157*P157</f>
        <v/>
      </c>
    </row>
    <row r="158">
      <c r="A158" t="inlineStr">
        <is>
          <t>R157</t>
        </is>
      </c>
      <c r="B158" t="inlineStr">
        <is>
          <t>Deudas</t>
        </is>
      </c>
      <c r="C158">
        <f>INDEX(Pesos_Dimensiones!$B$2:$B$22,MATCH(B158,Pesos_Dimensiones!$A$2:$A$22,0))</f>
        <v/>
      </c>
      <c r="D158" t="inlineStr">
        <is>
          <t>Involucramiento pasado — indicador 4 (Percepción de la deuda como solución habitual ante necesidades económi…)</t>
        </is>
      </c>
      <c r="E158" t="inlineStr">
        <is>
          <t>3-Involucramiento pasado</t>
        </is>
      </c>
      <c r="F158" t="n">
        <v>0</v>
      </c>
      <c r="G158" t="n">
        <v>4</v>
      </c>
      <c r="H158" t="inlineStr">
        <is>
          <t>Directo</t>
        </is>
      </c>
      <c r="I158" t="n">
        <v>0</v>
      </c>
      <c r="J158">
        <f>IF(H158="Inverso",G158-I158,I158)</f>
        <v/>
      </c>
      <c r="K158">
        <f>IFERROR(J158/G158,0)</f>
        <v/>
      </c>
      <c r="L158" t="inlineStr">
        <is>
          <t>R158</t>
        </is>
      </c>
      <c r="M158" t="inlineStr">
        <is>
          <t>Si</t>
        </is>
      </c>
      <c r="N158">
        <f>INDEX(Pesos_Dimensiones!$C$2:$C$22,MATCH(B158,Pesos_Dimensiones!$A$2:$A$22,0))</f>
        <v/>
      </c>
      <c r="O158">
        <f>1/COUNTIF($B$2:$B$211,B158)</f>
        <v/>
      </c>
      <c r="P158">
        <f>IF(OR(C158="Base",C158="Adicional"),N158*O158,0)</f>
        <v/>
      </c>
      <c r="Q158">
        <f>K158*P158</f>
        <v/>
      </c>
    </row>
    <row r="159">
      <c r="A159" t="inlineStr">
        <is>
          <t>R158</t>
        </is>
      </c>
      <c r="B159" t="inlineStr">
        <is>
          <t>Deudas</t>
        </is>
      </c>
      <c r="C159">
        <f>INDEX(Pesos_Dimensiones!$B$2:$B$22,MATCH(B159,Pesos_Dimensiones!$A$2:$A$22,0))</f>
        <v/>
      </c>
      <c r="D159" t="inlineStr">
        <is>
          <t>Intención futura — indicador 4 (Percepción de la deuda como solución habitual ante necesidades económi…)</t>
        </is>
      </c>
      <c r="E159" t="inlineStr">
        <is>
          <t>6-Intención futura</t>
        </is>
      </c>
      <c r="F159" t="n">
        <v>0</v>
      </c>
      <c r="G159" t="n">
        <v>4</v>
      </c>
      <c r="H159" t="inlineStr">
        <is>
          <t>Inverso</t>
        </is>
      </c>
      <c r="I159" t="n">
        <v>0</v>
      </c>
      <c r="J159">
        <f>IF(H159="Inverso",G159-I159,I159)</f>
        <v/>
      </c>
      <c r="K159">
        <f>IFERROR(J159/G159,0)</f>
        <v/>
      </c>
      <c r="L159" t="inlineStr">
        <is>
          <t>R157</t>
        </is>
      </c>
      <c r="M159" t="inlineStr">
        <is>
          <t>Si</t>
        </is>
      </c>
      <c r="N159">
        <f>INDEX(Pesos_Dimensiones!$C$2:$C$22,MATCH(B159,Pesos_Dimensiones!$A$2:$A$22,0))</f>
        <v/>
      </c>
      <c r="O159">
        <f>1/COUNTIF($B$2:$B$211,B159)</f>
        <v/>
      </c>
      <c r="P159">
        <f>IF(OR(C159="Base",C159="Adicional"),N159*O159,0)</f>
        <v/>
      </c>
      <c r="Q159">
        <f>K159*P159</f>
        <v/>
      </c>
    </row>
    <row r="160">
      <c r="A160" t="inlineStr">
        <is>
          <t>R159</t>
        </is>
      </c>
      <c r="B160" t="inlineStr">
        <is>
          <t>Deudas</t>
        </is>
      </c>
      <c r="C160">
        <f>INDEX(Pesos_Dimensiones!$B$2:$B$22,MATCH(B160,Pesos_Dimensiones!$A$2:$A$22,0))</f>
        <v/>
      </c>
      <c r="D160" t="inlineStr">
        <is>
          <t>Escenario/dilema — indicador 1 (Uso frecuente de deuda para adquirir bienes no esenciales.)</t>
        </is>
      </c>
      <c r="E160" t="inlineStr">
        <is>
          <t>4-Escenario/dilema</t>
        </is>
      </c>
      <c r="F160" t="n">
        <v>0</v>
      </c>
      <c r="G160" t="n">
        <v>3</v>
      </c>
      <c r="H160" t="inlineStr">
        <is>
          <t>Directo</t>
        </is>
      </c>
      <c r="I160" t="n">
        <v>0</v>
      </c>
      <c r="J160">
        <f>IF(H160="Inverso",G160-I160,I160)</f>
        <v/>
      </c>
      <c r="K160">
        <f>IFERROR(J160/G160,0)</f>
        <v/>
      </c>
      <c r="L160" t="inlineStr">
        <is>
          <t>R160</t>
        </is>
      </c>
      <c r="M160" t="inlineStr">
        <is>
          <t>Si</t>
        </is>
      </c>
      <c r="N160">
        <f>INDEX(Pesos_Dimensiones!$C$2:$C$22,MATCH(B160,Pesos_Dimensiones!$A$2:$A$22,0))</f>
        <v/>
      </c>
      <c r="O160">
        <f>1/COUNTIF($B$2:$B$211,B160)</f>
        <v/>
      </c>
      <c r="P160">
        <f>IF(OR(C160="Base",C160="Adicional"),N160*O160,0)</f>
        <v/>
      </c>
      <c r="Q160">
        <f>K160*P160</f>
        <v/>
      </c>
    </row>
    <row r="161">
      <c r="A161" t="inlineStr">
        <is>
          <t>R160</t>
        </is>
      </c>
      <c r="B161" t="inlineStr">
        <is>
          <t>Deudas</t>
        </is>
      </c>
      <c r="C161">
        <f>INDEX(Pesos_Dimensiones!$B$2:$B$22,MATCH(B161,Pesos_Dimensiones!$A$2:$A$22,0))</f>
        <v/>
      </c>
      <c r="D161" t="inlineStr">
        <is>
          <t>Percepción de terceros — indicador 1 (Uso frecuente de deuda para adquirir bienes no esenciales.)</t>
        </is>
      </c>
      <c r="E161" t="inlineStr">
        <is>
          <t>2-Percepción de terceros</t>
        </is>
      </c>
      <c r="F161" t="n">
        <v>0</v>
      </c>
      <c r="G161" t="n">
        <v>3</v>
      </c>
      <c r="H161" t="inlineStr">
        <is>
          <t>Directo</t>
        </is>
      </c>
      <c r="I161" t="n">
        <v>0</v>
      </c>
      <c r="J161">
        <f>IF(H161="Inverso",G161-I161,I161)</f>
        <v/>
      </c>
      <c r="K161">
        <f>IFERROR(J161/G161,0)</f>
        <v/>
      </c>
      <c r="L161" t="inlineStr">
        <is>
          <t>R159</t>
        </is>
      </c>
      <c r="M161" t="inlineStr">
        <is>
          <t>Si</t>
        </is>
      </c>
      <c r="N161">
        <f>INDEX(Pesos_Dimensiones!$C$2:$C$22,MATCH(B161,Pesos_Dimensiones!$A$2:$A$22,0))</f>
        <v/>
      </c>
      <c r="O161">
        <f>1/COUNTIF($B$2:$B$211,B161)</f>
        <v/>
      </c>
      <c r="P161">
        <f>IF(OR(C161="Base",C161="Adicional"),N161*O161,0)</f>
        <v/>
      </c>
      <c r="Q161">
        <f>K161*P161</f>
        <v/>
      </c>
    </row>
    <row r="162">
      <c r="A162" t="inlineStr">
        <is>
          <t>R161</t>
        </is>
      </c>
      <c r="B162" t="inlineStr">
        <is>
          <t>Impulsividad</t>
        </is>
      </c>
      <c r="C162">
        <f>INDEX(Pesos_Dimensiones!$B$2:$B$22,MATCH(B162,Pesos_Dimensiones!$A$2:$A$22,0))</f>
        <v/>
      </c>
      <c r="D162" t="inlineStr">
        <is>
          <t>Opinión/Actitud — indicador 1 (Toma de decisiones sin considerar adecuadamente las consecuencias a me…)</t>
        </is>
      </c>
      <c r="E162" t="inlineStr">
        <is>
          <t>1-Opinión/Actitud</t>
        </is>
      </c>
      <c r="F162" t="n">
        <v>0</v>
      </c>
      <c r="G162" t="n">
        <v>4</v>
      </c>
      <c r="H162" t="inlineStr">
        <is>
          <t>Directo</t>
        </is>
      </c>
      <c r="I162" t="n">
        <v>0</v>
      </c>
      <c r="J162">
        <f>IF(H162="Inverso",G162-I162,I162)</f>
        <v/>
      </c>
      <c r="K162">
        <f>IFERROR(J162/G162,0)</f>
        <v/>
      </c>
      <c r="L162" t="inlineStr">
        <is>
          <t>R162</t>
        </is>
      </c>
      <c r="M162" t="inlineStr">
        <is>
          <t>Si</t>
        </is>
      </c>
      <c r="N162">
        <f>INDEX(Pesos_Dimensiones!$C$2:$C$22,MATCH(B162,Pesos_Dimensiones!$A$2:$A$22,0))</f>
        <v/>
      </c>
      <c r="O162">
        <f>1/COUNTIF($B$2:$B$211,B162)</f>
        <v/>
      </c>
      <c r="P162">
        <f>IF(OR(C162="Base",C162="Adicional"),N162*O162,0)</f>
        <v/>
      </c>
      <c r="Q162">
        <f>K162*P162</f>
        <v/>
      </c>
    </row>
    <row r="163">
      <c r="A163" t="inlineStr">
        <is>
          <t>R162</t>
        </is>
      </c>
      <c r="B163" t="inlineStr">
        <is>
          <t>Impulsividad</t>
        </is>
      </c>
      <c r="C163">
        <f>INDEX(Pesos_Dimensiones!$B$2:$B$22,MATCH(B163,Pesos_Dimensiones!$A$2:$A$22,0))</f>
        <v/>
      </c>
      <c r="D163" t="inlineStr">
        <is>
          <t>Intención futura — indicador 1 (Toma de decisiones sin considerar adecuadamente las consecuencias a me…)</t>
        </is>
      </c>
      <c r="E163" t="inlineStr">
        <is>
          <t>6-Intención futura</t>
        </is>
      </c>
      <c r="F163" t="n">
        <v>0</v>
      </c>
      <c r="G163" t="n">
        <v>4</v>
      </c>
      <c r="H163" t="inlineStr">
        <is>
          <t>Inverso</t>
        </is>
      </c>
      <c r="I163" t="n">
        <v>0</v>
      </c>
      <c r="J163">
        <f>IF(H163="Inverso",G163-I163,I163)</f>
        <v/>
      </c>
      <c r="K163">
        <f>IFERROR(J163/G163,0)</f>
        <v/>
      </c>
      <c r="L163" t="inlineStr">
        <is>
          <t>R161</t>
        </is>
      </c>
      <c r="M163" t="inlineStr">
        <is>
          <t>Si</t>
        </is>
      </c>
      <c r="N163">
        <f>INDEX(Pesos_Dimensiones!$C$2:$C$22,MATCH(B163,Pesos_Dimensiones!$A$2:$A$22,0))</f>
        <v/>
      </c>
      <c r="O163">
        <f>1/COUNTIF($B$2:$B$211,B163)</f>
        <v/>
      </c>
      <c r="P163">
        <f>IF(OR(C163="Base",C163="Adicional"),N163*O163,0)</f>
        <v/>
      </c>
      <c r="Q163">
        <f>K163*P163</f>
        <v/>
      </c>
    </row>
    <row r="164">
      <c r="A164" t="inlineStr">
        <is>
          <t>R163</t>
        </is>
      </c>
      <c r="B164" t="inlineStr">
        <is>
          <t>Impulsividad</t>
        </is>
      </c>
      <c r="C164">
        <f>INDEX(Pesos_Dimensiones!$B$2:$B$22,MATCH(B164,Pesos_Dimensiones!$A$2:$A$22,0))</f>
        <v/>
      </c>
      <c r="D164" t="inlineStr">
        <is>
          <t>Involucramiento pasado — indicador 2 (Dificultad declarada para postergar una gratificación.)</t>
        </is>
      </c>
      <c r="E164" t="inlineStr">
        <is>
          <t>3-Involucramiento pasado</t>
        </is>
      </c>
      <c r="F164" t="n">
        <v>0</v>
      </c>
      <c r="G164" t="n">
        <v>4</v>
      </c>
      <c r="H164" t="inlineStr">
        <is>
          <t>Directo</t>
        </is>
      </c>
      <c r="I164" t="n">
        <v>0</v>
      </c>
      <c r="J164">
        <f>IF(H164="Inverso",G164-I164,I164)</f>
        <v/>
      </c>
      <c r="K164">
        <f>IFERROR(J164/G164,0)</f>
        <v/>
      </c>
      <c r="L164" t="inlineStr">
        <is>
          <t>R164</t>
        </is>
      </c>
      <c r="M164" t="inlineStr">
        <is>
          <t>Si</t>
        </is>
      </c>
      <c r="N164">
        <f>INDEX(Pesos_Dimensiones!$C$2:$C$22,MATCH(B164,Pesos_Dimensiones!$A$2:$A$22,0))</f>
        <v/>
      </c>
      <c r="O164">
        <f>1/COUNTIF($B$2:$B$211,B164)</f>
        <v/>
      </c>
      <c r="P164">
        <f>IF(OR(C164="Base",C164="Adicional"),N164*O164,0)</f>
        <v/>
      </c>
      <c r="Q164">
        <f>K164*P164</f>
        <v/>
      </c>
    </row>
    <row r="165">
      <c r="A165" t="inlineStr">
        <is>
          <t>R164</t>
        </is>
      </c>
      <c r="B165" t="inlineStr">
        <is>
          <t>Impulsividad</t>
        </is>
      </c>
      <c r="C165">
        <f>INDEX(Pesos_Dimensiones!$B$2:$B$22,MATCH(B165,Pesos_Dimensiones!$A$2:$A$22,0))</f>
        <v/>
      </c>
      <c r="D165" t="inlineStr">
        <is>
          <t>Escenario/dilema — indicador 2 (Dificultad declarada para postergar una gratificación.)</t>
        </is>
      </c>
      <c r="E165" t="inlineStr">
        <is>
          <t>4-Escenario/dilema</t>
        </is>
      </c>
      <c r="F165" t="n">
        <v>0</v>
      </c>
      <c r="G165" t="n">
        <v>3</v>
      </c>
      <c r="H165" t="inlineStr">
        <is>
          <t>Directo</t>
        </is>
      </c>
      <c r="I165" t="n">
        <v>0</v>
      </c>
      <c r="J165">
        <f>IF(H165="Inverso",G165-I165,I165)</f>
        <v/>
      </c>
      <c r="K165">
        <f>IFERROR(J165/G165,0)</f>
        <v/>
      </c>
      <c r="L165" t="inlineStr">
        <is>
          <t>R163</t>
        </is>
      </c>
      <c r="M165" t="inlineStr">
        <is>
          <t>Si</t>
        </is>
      </c>
      <c r="N165">
        <f>INDEX(Pesos_Dimensiones!$C$2:$C$22,MATCH(B165,Pesos_Dimensiones!$A$2:$A$22,0))</f>
        <v/>
      </c>
      <c r="O165">
        <f>1/COUNTIF($B$2:$B$211,B165)</f>
        <v/>
      </c>
      <c r="P165">
        <f>IF(OR(C165="Base",C165="Adicional"),N165*O165,0)</f>
        <v/>
      </c>
      <c r="Q165">
        <f>K165*P165</f>
        <v/>
      </c>
    </row>
    <row r="166">
      <c r="A166" t="inlineStr">
        <is>
          <t>R165</t>
        </is>
      </c>
      <c r="B166" t="inlineStr">
        <is>
          <t>Impulsividad</t>
        </is>
      </c>
      <c r="C166">
        <f>INDEX(Pesos_Dimensiones!$B$2:$B$22,MATCH(B166,Pesos_Dimensiones!$A$2:$A$22,0))</f>
        <v/>
      </c>
      <c r="D166" t="inlineStr">
        <is>
          <t>Percepción de terceros — indicador 3 (Frecuencia de arrepentimiento posterior a decisiones tomadas apresurad…)</t>
        </is>
      </c>
      <c r="E166" t="inlineStr">
        <is>
          <t>2-Percepción de terceros</t>
        </is>
      </c>
      <c r="F166" t="n">
        <v>0</v>
      </c>
      <c r="G166" t="n">
        <v>3</v>
      </c>
      <c r="H166" t="inlineStr">
        <is>
          <t>Directo</t>
        </is>
      </c>
      <c r="I166" t="n">
        <v>0</v>
      </c>
      <c r="J166">
        <f>IF(H166="Inverso",G166-I166,I166)</f>
        <v/>
      </c>
      <c r="K166">
        <f>IFERROR(J166/G166,0)</f>
        <v/>
      </c>
      <c r="L166" t="inlineStr">
        <is>
          <t>R166</t>
        </is>
      </c>
      <c r="M166" t="inlineStr">
        <is>
          <t>Si</t>
        </is>
      </c>
      <c r="N166">
        <f>INDEX(Pesos_Dimensiones!$C$2:$C$22,MATCH(B166,Pesos_Dimensiones!$A$2:$A$22,0))</f>
        <v/>
      </c>
      <c r="O166">
        <f>1/COUNTIF($B$2:$B$211,B166)</f>
        <v/>
      </c>
      <c r="P166">
        <f>IF(OR(C166="Base",C166="Adicional"),N166*O166,0)</f>
        <v/>
      </c>
      <c r="Q166">
        <f>K166*P166</f>
        <v/>
      </c>
    </row>
    <row r="167">
      <c r="A167" t="inlineStr">
        <is>
          <t>R166</t>
        </is>
      </c>
      <c r="B167" t="inlineStr">
        <is>
          <t>Impulsividad</t>
        </is>
      </c>
      <c r="C167">
        <f>INDEX(Pesos_Dimensiones!$B$2:$B$22,MATCH(B167,Pesos_Dimensiones!$A$2:$A$22,0))</f>
        <v/>
      </c>
      <c r="D167" t="inlineStr">
        <is>
          <t>Opinión/Actitud — indicador 3 (Frecuencia de arrepentimiento posterior a decisiones tomadas apresurad…)</t>
        </is>
      </c>
      <c r="E167" t="inlineStr">
        <is>
          <t>1-Opinión/Actitud</t>
        </is>
      </c>
      <c r="F167" t="n">
        <v>0</v>
      </c>
      <c r="G167" t="n">
        <v>4</v>
      </c>
      <c r="H167" t="inlineStr">
        <is>
          <t>Directo</t>
        </is>
      </c>
      <c r="I167" t="n">
        <v>0</v>
      </c>
      <c r="J167">
        <f>IF(H167="Inverso",G167-I167,I167)</f>
        <v/>
      </c>
      <c r="K167">
        <f>IFERROR(J167/G167,0)</f>
        <v/>
      </c>
      <c r="L167" t="inlineStr">
        <is>
          <t>R165</t>
        </is>
      </c>
      <c r="M167" t="inlineStr">
        <is>
          <t>Si</t>
        </is>
      </c>
      <c r="N167">
        <f>INDEX(Pesos_Dimensiones!$C$2:$C$22,MATCH(B167,Pesos_Dimensiones!$A$2:$A$22,0))</f>
        <v/>
      </c>
      <c r="O167">
        <f>1/COUNTIF($B$2:$B$211,B167)</f>
        <v/>
      </c>
      <c r="P167">
        <f>IF(OR(C167="Base",C167="Adicional"),N167*O167,0)</f>
        <v/>
      </c>
      <c r="Q167">
        <f>K167*P167</f>
        <v/>
      </c>
    </row>
    <row r="168">
      <c r="A168" t="inlineStr">
        <is>
          <t>R167</t>
        </is>
      </c>
      <c r="B168" t="inlineStr">
        <is>
          <t>Impulsividad</t>
        </is>
      </c>
      <c r="C168">
        <f>INDEX(Pesos_Dimensiones!$B$2:$B$22,MATCH(B168,Pesos_Dimensiones!$A$2:$A$22,0))</f>
        <v/>
      </c>
      <c r="D168" t="inlineStr">
        <is>
          <t>Involucramiento pasado — indicador 4 (Preferencia declarada por el beneficio inmediato aun conociendo el rie…)</t>
        </is>
      </c>
      <c r="E168" t="inlineStr">
        <is>
          <t>3-Involucramiento pasado</t>
        </is>
      </c>
      <c r="F168" t="n">
        <v>0</v>
      </c>
      <c r="G168" t="n">
        <v>4</v>
      </c>
      <c r="H168" t="inlineStr">
        <is>
          <t>Directo</t>
        </is>
      </c>
      <c r="I168" t="n">
        <v>0</v>
      </c>
      <c r="J168">
        <f>IF(H168="Inverso",G168-I168,I168)</f>
        <v/>
      </c>
      <c r="K168">
        <f>IFERROR(J168/G168,0)</f>
        <v/>
      </c>
      <c r="L168" t="inlineStr">
        <is>
          <t>R168</t>
        </is>
      </c>
      <c r="M168" t="inlineStr">
        <is>
          <t>Si</t>
        </is>
      </c>
      <c r="N168">
        <f>INDEX(Pesos_Dimensiones!$C$2:$C$22,MATCH(B168,Pesos_Dimensiones!$A$2:$A$22,0))</f>
        <v/>
      </c>
      <c r="O168">
        <f>1/COUNTIF($B$2:$B$211,B168)</f>
        <v/>
      </c>
      <c r="P168">
        <f>IF(OR(C168="Base",C168="Adicional"),N168*O168,0)</f>
        <v/>
      </c>
      <c r="Q168">
        <f>K168*P168</f>
        <v/>
      </c>
    </row>
    <row r="169">
      <c r="A169" t="inlineStr">
        <is>
          <t>R168</t>
        </is>
      </c>
      <c r="B169" t="inlineStr">
        <is>
          <t>Impulsividad</t>
        </is>
      </c>
      <c r="C169">
        <f>INDEX(Pesos_Dimensiones!$B$2:$B$22,MATCH(B169,Pesos_Dimensiones!$A$2:$A$22,0))</f>
        <v/>
      </c>
      <c r="D169" t="inlineStr">
        <is>
          <t>Intención futura — indicador 4 (Preferencia declarada por el beneficio inmediato aun conociendo el rie…)</t>
        </is>
      </c>
      <c r="E169" t="inlineStr">
        <is>
          <t>6-Intención futura</t>
        </is>
      </c>
      <c r="F169" t="n">
        <v>0</v>
      </c>
      <c r="G169" t="n">
        <v>4</v>
      </c>
      <c r="H169" t="inlineStr">
        <is>
          <t>Inverso</t>
        </is>
      </c>
      <c r="I169" t="n">
        <v>0</v>
      </c>
      <c r="J169">
        <f>IF(H169="Inverso",G169-I169,I169)</f>
        <v/>
      </c>
      <c r="K169">
        <f>IFERROR(J169/G169,0)</f>
        <v/>
      </c>
      <c r="L169" t="inlineStr">
        <is>
          <t>R167</t>
        </is>
      </c>
      <c r="M169" t="inlineStr">
        <is>
          <t>Si</t>
        </is>
      </c>
      <c r="N169">
        <f>INDEX(Pesos_Dimensiones!$C$2:$C$22,MATCH(B169,Pesos_Dimensiones!$A$2:$A$22,0))</f>
        <v/>
      </c>
      <c r="O169">
        <f>1/COUNTIF($B$2:$B$211,B169)</f>
        <v/>
      </c>
      <c r="P169">
        <f>IF(OR(C169="Base",C169="Adicional"),N169*O169,0)</f>
        <v/>
      </c>
      <c r="Q169">
        <f>K169*P169</f>
        <v/>
      </c>
    </row>
    <row r="170">
      <c r="A170" t="inlineStr">
        <is>
          <t>R169</t>
        </is>
      </c>
      <c r="B170" t="inlineStr">
        <is>
          <t>Impulsividad</t>
        </is>
      </c>
      <c r="C170">
        <f>INDEX(Pesos_Dimensiones!$B$2:$B$22,MATCH(B170,Pesos_Dimensiones!$A$2:$A$22,0))</f>
        <v/>
      </c>
      <c r="D170" t="inlineStr">
        <is>
          <t>Escenario/dilema — indicador 1 (Toma de decisiones sin considerar adecuadamente las consecuencias a me…)</t>
        </is>
      </c>
      <c r="E170" t="inlineStr">
        <is>
          <t>4-Escenario/dilema</t>
        </is>
      </c>
      <c r="F170" t="n">
        <v>0</v>
      </c>
      <c r="G170" t="n">
        <v>3</v>
      </c>
      <c r="H170" t="inlineStr">
        <is>
          <t>Directo</t>
        </is>
      </c>
      <c r="I170" t="n">
        <v>0</v>
      </c>
      <c r="J170">
        <f>IF(H170="Inverso",G170-I170,I170)</f>
        <v/>
      </c>
      <c r="K170">
        <f>IFERROR(J170/G170,0)</f>
        <v/>
      </c>
      <c r="L170" t="inlineStr">
        <is>
          <t>R170</t>
        </is>
      </c>
      <c r="M170" t="inlineStr">
        <is>
          <t>Si</t>
        </is>
      </c>
      <c r="N170">
        <f>INDEX(Pesos_Dimensiones!$C$2:$C$22,MATCH(B170,Pesos_Dimensiones!$A$2:$A$22,0))</f>
        <v/>
      </c>
      <c r="O170">
        <f>1/COUNTIF($B$2:$B$211,B170)</f>
        <v/>
      </c>
      <c r="P170">
        <f>IF(OR(C170="Base",C170="Adicional"),N170*O170,0)</f>
        <v/>
      </c>
      <c r="Q170">
        <f>K170*P170</f>
        <v/>
      </c>
    </row>
    <row r="171">
      <c r="A171" t="inlineStr">
        <is>
          <t>R170</t>
        </is>
      </c>
      <c r="B171" t="inlineStr">
        <is>
          <t>Impulsividad</t>
        </is>
      </c>
      <c r="C171">
        <f>INDEX(Pesos_Dimensiones!$B$2:$B$22,MATCH(B171,Pesos_Dimensiones!$A$2:$A$22,0))</f>
        <v/>
      </c>
      <c r="D171" t="inlineStr">
        <is>
          <t>Percepción de terceros — indicador 1 (Toma de decisiones sin considerar adecuadamente las consecuencias a me…)</t>
        </is>
      </c>
      <c r="E171" t="inlineStr">
        <is>
          <t>2-Percepción de terceros</t>
        </is>
      </c>
      <c r="F171" t="n">
        <v>0</v>
      </c>
      <c r="G171" t="n">
        <v>3</v>
      </c>
      <c r="H171" t="inlineStr">
        <is>
          <t>Directo</t>
        </is>
      </c>
      <c r="I171" t="n">
        <v>0</v>
      </c>
      <c r="J171">
        <f>IF(H171="Inverso",G171-I171,I171)</f>
        <v/>
      </c>
      <c r="K171">
        <f>IFERROR(J171/G171,0)</f>
        <v/>
      </c>
      <c r="L171" t="inlineStr">
        <is>
          <t>R169</t>
        </is>
      </c>
      <c r="M171" t="inlineStr">
        <is>
          <t>Si</t>
        </is>
      </c>
      <c r="N171">
        <f>INDEX(Pesos_Dimensiones!$C$2:$C$22,MATCH(B171,Pesos_Dimensiones!$A$2:$A$22,0))</f>
        <v/>
      </c>
      <c r="O171">
        <f>1/COUNTIF($B$2:$B$211,B171)</f>
        <v/>
      </c>
      <c r="P171">
        <f>IF(OR(C171="Base",C171="Adicional"),N171*O171,0)</f>
        <v/>
      </c>
      <c r="Q171">
        <f>K171*P171</f>
        <v/>
      </c>
    </row>
    <row r="172">
      <c r="A172" t="inlineStr">
        <is>
          <t>R171</t>
        </is>
      </c>
      <c r="B172" t="inlineStr">
        <is>
          <t>Violencia</t>
        </is>
      </c>
      <c r="C172">
        <f>INDEX(Pesos_Dimensiones!$B$2:$B$22,MATCH(B172,Pesos_Dimensiones!$A$2:$A$22,0))</f>
        <v/>
      </c>
      <c r="D172" t="inlineStr">
        <is>
          <t>Opinión/Actitud — indicador 1 (Disposición a responder con agresión verbal ante el conflicto.)</t>
        </is>
      </c>
      <c r="E172" t="inlineStr">
        <is>
          <t>1-Opinión/Actitud</t>
        </is>
      </c>
      <c r="F172" t="n">
        <v>0</v>
      </c>
      <c r="G172" t="n">
        <v>4</v>
      </c>
      <c r="H172" t="inlineStr">
        <is>
          <t>Directo</t>
        </is>
      </c>
      <c r="I172" t="n">
        <v>0</v>
      </c>
      <c r="J172">
        <f>IF(H172="Inverso",G172-I172,I172)</f>
        <v/>
      </c>
      <c r="K172">
        <f>IFERROR(J172/G172,0)</f>
        <v/>
      </c>
      <c r="L172" t="inlineStr">
        <is>
          <t>R172</t>
        </is>
      </c>
      <c r="M172" t="inlineStr">
        <is>
          <t>Si</t>
        </is>
      </c>
      <c r="N172">
        <f>INDEX(Pesos_Dimensiones!$C$2:$C$22,MATCH(B172,Pesos_Dimensiones!$A$2:$A$22,0))</f>
        <v/>
      </c>
      <c r="O172">
        <f>1/COUNTIF($B$2:$B$211,B172)</f>
        <v/>
      </c>
      <c r="P172">
        <f>IF(OR(C172="Base",C172="Adicional"),N172*O172,0)</f>
        <v/>
      </c>
      <c r="Q172">
        <f>K172*P172</f>
        <v/>
      </c>
    </row>
    <row r="173">
      <c r="A173" t="inlineStr">
        <is>
          <t>R172</t>
        </is>
      </c>
      <c r="B173" t="inlineStr">
        <is>
          <t>Violencia</t>
        </is>
      </c>
      <c r="C173">
        <f>INDEX(Pesos_Dimensiones!$B$2:$B$22,MATCH(B173,Pesos_Dimensiones!$A$2:$A$22,0))</f>
        <v/>
      </c>
      <c r="D173" t="inlineStr">
        <is>
          <t>Intención futura — indicador 1 (Disposición a responder con agresión verbal ante el conflicto.)</t>
        </is>
      </c>
      <c r="E173" t="inlineStr">
        <is>
          <t>6-Intención futura</t>
        </is>
      </c>
      <c r="F173" t="n">
        <v>0</v>
      </c>
      <c r="G173" t="n">
        <v>4</v>
      </c>
      <c r="H173" t="inlineStr">
        <is>
          <t>Inverso</t>
        </is>
      </c>
      <c r="I173" t="n">
        <v>0</v>
      </c>
      <c r="J173">
        <f>IF(H173="Inverso",G173-I173,I173)</f>
        <v/>
      </c>
      <c r="K173">
        <f>IFERROR(J173/G173,0)</f>
        <v/>
      </c>
      <c r="L173" t="inlineStr">
        <is>
          <t>R171</t>
        </is>
      </c>
      <c r="M173" t="inlineStr">
        <is>
          <t>Si</t>
        </is>
      </c>
      <c r="N173">
        <f>INDEX(Pesos_Dimensiones!$C$2:$C$22,MATCH(B173,Pesos_Dimensiones!$A$2:$A$22,0))</f>
        <v/>
      </c>
      <c r="O173">
        <f>1/COUNTIF($B$2:$B$211,B173)</f>
        <v/>
      </c>
      <c r="P173">
        <f>IF(OR(C173="Base",C173="Adicional"),N173*O173,0)</f>
        <v/>
      </c>
      <c r="Q173">
        <f>K173*P173</f>
        <v/>
      </c>
    </row>
    <row r="174">
      <c r="A174" t="inlineStr">
        <is>
          <t>R173</t>
        </is>
      </c>
      <c r="B174" t="inlineStr">
        <is>
          <t>Violencia</t>
        </is>
      </c>
      <c r="C174">
        <f>INDEX(Pesos_Dimensiones!$B$2:$B$22,MATCH(B174,Pesos_Dimensiones!$A$2:$A$22,0))</f>
        <v/>
      </c>
      <c r="D174" t="inlineStr">
        <is>
          <t>Involucramiento pasado — indicador 2 (Disposición declarada hacia la agresión física como forma de resolver …)</t>
        </is>
      </c>
      <c r="E174" t="inlineStr">
        <is>
          <t>3-Involucramiento pasado</t>
        </is>
      </c>
      <c r="F174" t="n">
        <v>0</v>
      </c>
      <c r="G174" t="n">
        <v>4</v>
      </c>
      <c r="H174" t="inlineStr">
        <is>
          <t>Directo</t>
        </is>
      </c>
      <c r="I174" t="n">
        <v>0</v>
      </c>
      <c r="J174">
        <f>IF(H174="Inverso",G174-I174,I174)</f>
        <v/>
      </c>
      <c r="K174">
        <f>IFERROR(J174/G174,0)</f>
        <v/>
      </c>
      <c r="L174" t="inlineStr">
        <is>
          <t>R174</t>
        </is>
      </c>
      <c r="M174" t="inlineStr">
        <is>
          <t>Si</t>
        </is>
      </c>
      <c r="N174">
        <f>INDEX(Pesos_Dimensiones!$C$2:$C$22,MATCH(B174,Pesos_Dimensiones!$A$2:$A$22,0))</f>
        <v/>
      </c>
      <c r="O174">
        <f>1/COUNTIF($B$2:$B$211,B174)</f>
        <v/>
      </c>
      <c r="P174">
        <f>IF(OR(C174="Base",C174="Adicional"),N174*O174,0)</f>
        <v/>
      </c>
      <c r="Q174">
        <f>K174*P174</f>
        <v/>
      </c>
    </row>
    <row r="175">
      <c r="A175" t="inlineStr">
        <is>
          <t>R174</t>
        </is>
      </c>
      <c r="B175" t="inlineStr">
        <is>
          <t>Violencia</t>
        </is>
      </c>
      <c r="C175">
        <f>INDEX(Pesos_Dimensiones!$B$2:$B$22,MATCH(B175,Pesos_Dimensiones!$A$2:$A$22,0))</f>
        <v/>
      </c>
      <c r="D175" t="inlineStr">
        <is>
          <t>Escenario/dilema — indicador 2 (Disposición declarada hacia la agresión física como forma de resolver …)</t>
        </is>
      </c>
      <c r="E175" t="inlineStr">
        <is>
          <t>4-Escenario/dilema</t>
        </is>
      </c>
      <c r="F175" t="n">
        <v>0</v>
      </c>
      <c r="G175" t="n">
        <v>3</v>
      </c>
      <c r="H175" t="inlineStr">
        <is>
          <t>Directo</t>
        </is>
      </c>
      <c r="I175" t="n">
        <v>0</v>
      </c>
      <c r="J175">
        <f>IF(H175="Inverso",G175-I175,I175)</f>
        <v/>
      </c>
      <c r="K175">
        <f>IFERROR(J175/G175,0)</f>
        <v/>
      </c>
      <c r="L175" t="inlineStr">
        <is>
          <t>R173</t>
        </is>
      </c>
      <c r="M175" t="inlineStr">
        <is>
          <t>Si</t>
        </is>
      </c>
      <c r="N175">
        <f>INDEX(Pesos_Dimensiones!$C$2:$C$22,MATCH(B175,Pesos_Dimensiones!$A$2:$A$22,0))</f>
        <v/>
      </c>
      <c r="O175">
        <f>1/COUNTIF($B$2:$B$211,B175)</f>
        <v/>
      </c>
      <c r="P175">
        <f>IF(OR(C175="Base",C175="Adicional"),N175*O175,0)</f>
        <v/>
      </c>
      <c r="Q175">
        <f>K175*P175</f>
        <v/>
      </c>
    </row>
    <row r="176">
      <c r="A176" t="inlineStr">
        <is>
          <t>R175</t>
        </is>
      </c>
      <c r="B176" t="inlineStr">
        <is>
          <t>Violencia</t>
        </is>
      </c>
      <c r="C176">
        <f>INDEX(Pesos_Dimensiones!$B$2:$B$22,MATCH(B176,Pesos_Dimensiones!$A$2:$A$22,0))</f>
        <v/>
      </c>
      <c r="D176" t="inlineStr">
        <is>
          <t>Percepción de terceros — indicador 3 (Uso de la intimidación relacional (aislar, amenazar socialmente) como …)</t>
        </is>
      </c>
      <c r="E176" t="inlineStr">
        <is>
          <t>2-Percepción de terceros</t>
        </is>
      </c>
      <c r="F176" t="n">
        <v>0</v>
      </c>
      <c r="G176" t="n">
        <v>3</v>
      </c>
      <c r="H176" t="inlineStr">
        <is>
          <t>Directo</t>
        </is>
      </c>
      <c r="I176" t="n">
        <v>0</v>
      </c>
      <c r="J176">
        <f>IF(H176="Inverso",G176-I176,I176)</f>
        <v/>
      </c>
      <c r="K176">
        <f>IFERROR(J176/G176,0)</f>
        <v/>
      </c>
      <c r="L176" t="inlineStr">
        <is>
          <t>R176</t>
        </is>
      </c>
      <c r="M176" t="inlineStr">
        <is>
          <t>Si</t>
        </is>
      </c>
      <c r="N176">
        <f>INDEX(Pesos_Dimensiones!$C$2:$C$22,MATCH(B176,Pesos_Dimensiones!$A$2:$A$22,0))</f>
        <v/>
      </c>
      <c r="O176">
        <f>1/COUNTIF($B$2:$B$211,B176)</f>
        <v/>
      </c>
      <c r="P176">
        <f>IF(OR(C176="Base",C176="Adicional"),N176*O176,0)</f>
        <v/>
      </c>
      <c r="Q176">
        <f>K176*P176</f>
        <v/>
      </c>
    </row>
    <row r="177">
      <c r="A177" t="inlineStr">
        <is>
          <t>R176</t>
        </is>
      </c>
      <c r="B177" t="inlineStr">
        <is>
          <t>Violencia</t>
        </is>
      </c>
      <c r="C177">
        <f>INDEX(Pesos_Dimensiones!$B$2:$B$22,MATCH(B177,Pesos_Dimensiones!$A$2:$A$22,0))</f>
        <v/>
      </c>
      <c r="D177" t="inlineStr">
        <is>
          <t>Opinión/Actitud — indicador 3 (Uso de la intimidación relacional (aislar, amenazar socialmente) como …)</t>
        </is>
      </c>
      <c r="E177" t="inlineStr">
        <is>
          <t>1-Opinión/Actitud</t>
        </is>
      </c>
      <c r="F177" t="n">
        <v>0</v>
      </c>
      <c r="G177" t="n">
        <v>4</v>
      </c>
      <c r="H177" t="inlineStr">
        <is>
          <t>Directo</t>
        </is>
      </c>
      <c r="I177" t="n">
        <v>0</v>
      </c>
      <c r="J177">
        <f>IF(H177="Inverso",G177-I177,I177)</f>
        <v/>
      </c>
      <c r="K177">
        <f>IFERROR(J177/G177,0)</f>
        <v/>
      </c>
      <c r="L177" t="inlineStr">
        <is>
          <t>R175</t>
        </is>
      </c>
      <c r="M177" t="inlineStr">
        <is>
          <t>Si</t>
        </is>
      </c>
      <c r="N177">
        <f>INDEX(Pesos_Dimensiones!$C$2:$C$22,MATCH(B177,Pesos_Dimensiones!$A$2:$A$22,0))</f>
        <v/>
      </c>
      <c r="O177">
        <f>1/COUNTIF($B$2:$B$211,B177)</f>
        <v/>
      </c>
      <c r="P177">
        <f>IF(OR(C177="Base",C177="Adicional"),N177*O177,0)</f>
        <v/>
      </c>
      <c r="Q177">
        <f>K177*P177</f>
        <v/>
      </c>
    </row>
    <row r="178">
      <c r="A178" t="inlineStr">
        <is>
          <t>R177</t>
        </is>
      </c>
      <c r="B178" t="inlineStr">
        <is>
          <t>Violencia</t>
        </is>
      </c>
      <c r="C178">
        <f>INDEX(Pesos_Dimensiones!$B$2:$B$22,MATCH(B178,Pesos_Dimensiones!$A$2:$A$22,0))</f>
        <v/>
      </c>
      <c r="D178" t="inlineStr">
        <is>
          <t>Involucramiento pasado — indicador 4 (Justificación de la violencia como respuesta válida ante una provocaci…)</t>
        </is>
      </c>
      <c r="E178" t="inlineStr">
        <is>
          <t>3-Involucramiento pasado</t>
        </is>
      </c>
      <c r="F178" t="n">
        <v>0</v>
      </c>
      <c r="G178" t="n">
        <v>4</v>
      </c>
      <c r="H178" t="inlineStr">
        <is>
          <t>Directo</t>
        </is>
      </c>
      <c r="I178" t="n">
        <v>0</v>
      </c>
      <c r="J178">
        <f>IF(H178="Inverso",G178-I178,I178)</f>
        <v/>
      </c>
      <c r="K178">
        <f>IFERROR(J178/G178,0)</f>
        <v/>
      </c>
      <c r="L178" t="inlineStr">
        <is>
          <t>R178</t>
        </is>
      </c>
      <c r="M178" t="inlineStr">
        <is>
          <t>Si</t>
        </is>
      </c>
      <c r="N178">
        <f>INDEX(Pesos_Dimensiones!$C$2:$C$22,MATCH(B178,Pesos_Dimensiones!$A$2:$A$22,0))</f>
        <v/>
      </c>
      <c r="O178">
        <f>1/COUNTIF($B$2:$B$211,B178)</f>
        <v/>
      </c>
      <c r="P178">
        <f>IF(OR(C178="Base",C178="Adicional"),N178*O178,0)</f>
        <v/>
      </c>
      <c r="Q178">
        <f>K178*P178</f>
        <v/>
      </c>
    </row>
    <row r="179">
      <c r="A179" t="inlineStr">
        <is>
          <t>R178</t>
        </is>
      </c>
      <c r="B179" t="inlineStr">
        <is>
          <t>Violencia</t>
        </is>
      </c>
      <c r="C179">
        <f>INDEX(Pesos_Dimensiones!$B$2:$B$22,MATCH(B179,Pesos_Dimensiones!$A$2:$A$22,0))</f>
        <v/>
      </c>
      <c r="D179" t="inlineStr">
        <is>
          <t>Intención futura — indicador 4 (Justificación de la violencia como respuesta válida ante una provocaci…)</t>
        </is>
      </c>
      <c r="E179" t="inlineStr">
        <is>
          <t>6-Intención futura</t>
        </is>
      </c>
      <c r="F179" t="n">
        <v>0</v>
      </c>
      <c r="G179" t="n">
        <v>4</v>
      </c>
      <c r="H179" t="inlineStr">
        <is>
          <t>Inverso</t>
        </is>
      </c>
      <c r="I179" t="n">
        <v>0</v>
      </c>
      <c r="J179">
        <f>IF(H179="Inverso",G179-I179,I179)</f>
        <v/>
      </c>
      <c r="K179">
        <f>IFERROR(J179/G179,0)</f>
        <v/>
      </c>
      <c r="L179" t="inlineStr">
        <is>
          <t>R177</t>
        </is>
      </c>
      <c r="M179" t="inlineStr">
        <is>
          <t>Si</t>
        </is>
      </c>
      <c r="N179">
        <f>INDEX(Pesos_Dimensiones!$C$2:$C$22,MATCH(B179,Pesos_Dimensiones!$A$2:$A$22,0))</f>
        <v/>
      </c>
      <c r="O179">
        <f>1/COUNTIF($B$2:$B$211,B179)</f>
        <v/>
      </c>
      <c r="P179">
        <f>IF(OR(C179="Base",C179="Adicional"),N179*O179,0)</f>
        <v/>
      </c>
      <c r="Q179">
        <f>K179*P179</f>
        <v/>
      </c>
    </row>
    <row r="180">
      <c r="A180" t="inlineStr">
        <is>
          <t>R179</t>
        </is>
      </c>
      <c r="B180" t="inlineStr">
        <is>
          <t>Violencia</t>
        </is>
      </c>
      <c r="C180">
        <f>INDEX(Pesos_Dimensiones!$B$2:$B$22,MATCH(B180,Pesos_Dimensiones!$A$2:$A$22,0))</f>
        <v/>
      </c>
      <c r="D180" t="inlineStr">
        <is>
          <t>Escenario/dilema — indicador 1 (Disposición a responder con agresión verbal ante el conflicto.)</t>
        </is>
      </c>
      <c r="E180" t="inlineStr">
        <is>
          <t>4-Escenario/dilema</t>
        </is>
      </c>
      <c r="F180" t="n">
        <v>0</v>
      </c>
      <c r="G180" t="n">
        <v>3</v>
      </c>
      <c r="H180" t="inlineStr">
        <is>
          <t>Directo</t>
        </is>
      </c>
      <c r="I180" t="n">
        <v>0</v>
      </c>
      <c r="J180">
        <f>IF(H180="Inverso",G180-I180,I180)</f>
        <v/>
      </c>
      <c r="K180">
        <f>IFERROR(J180/G180,0)</f>
        <v/>
      </c>
      <c r="L180" t="inlineStr">
        <is>
          <t>R180</t>
        </is>
      </c>
      <c r="M180" t="inlineStr">
        <is>
          <t>Si</t>
        </is>
      </c>
      <c r="N180">
        <f>INDEX(Pesos_Dimensiones!$C$2:$C$22,MATCH(B180,Pesos_Dimensiones!$A$2:$A$22,0))</f>
        <v/>
      </c>
      <c r="O180">
        <f>1/COUNTIF($B$2:$B$211,B180)</f>
        <v/>
      </c>
      <c r="P180">
        <f>IF(OR(C180="Base",C180="Adicional"),N180*O180,0)</f>
        <v/>
      </c>
      <c r="Q180">
        <f>K180*P180</f>
        <v/>
      </c>
    </row>
    <row r="181">
      <c r="A181" t="inlineStr">
        <is>
          <t>R180</t>
        </is>
      </c>
      <c r="B181" t="inlineStr">
        <is>
          <t>Violencia</t>
        </is>
      </c>
      <c r="C181">
        <f>INDEX(Pesos_Dimensiones!$B$2:$B$22,MATCH(B181,Pesos_Dimensiones!$A$2:$A$22,0))</f>
        <v/>
      </c>
      <c r="D181" t="inlineStr">
        <is>
          <t>Percepción de terceros — indicador 1 (Disposición a responder con agresión verbal ante el conflicto.)</t>
        </is>
      </c>
      <c r="E181" t="inlineStr">
        <is>
          <t>2-Percepción de terceros</t>
        </is>
      </c>
      <c r="F181" t="n">
        <v>0</v>
      </c>
      <c r="G181" t="n">
        <v>3</v>
      </c>
      <c r="H181" t="inlineStr">
        <is>
          <t>Directo</t>
        </is>
      </c>
      <c r="I181" t="n">
        <v>0</v>
      </c>
      <c r="J181">
        <f>IF(H181="Inverso",G181-I181,I181)</f>
        <v/>
      </c>
      <c r="K181">
        <f>IFERROR(J181/G181,0)</f>
        <v/>
      </c>
      <c r="L181" t="inlineStr">
        <is>
          <t>R179</t>
        </is>
      </c>
      <c r="M181" t="inlineStr">
        <is>
          <t>Si</t>
        </is>
      </c>
      <c r="N181">
        <f>INDEX(Pesos_Dimensiones!$C$2:$C$22,MATCH(B181,Pesos_Dimensiones!$A$2:$A$22,0))</f>
        <v/>
      </c>
      <c r="O181">
        <f>1/COUNTIF($B$2:$B$211,B181)</f>
        <v/>
      </c>
      <c r="P181">
        <f>IF(OR(C181="Base",C181="Adicional"),N181*O181,0)</f>
        <v/>
      </c>
      <c r="Q181">
        <f>K181*P181</f>
        <v/>
      </c>
    </row>
    <row r="182">
      <c r="A182" t="inlineStr">
        <is>
          <t>R181</t>
        </is>
      </c>
      <c r="B182" t="inlineStr">
        <is>
          <t>Ludopatía</t>
        </is>
      </c>
      <c r="C182">
        <f>INDEX(Pesos_Dimensiones!$B$2:$B$22,MATCH(B182,Pesos_Dimensiones!$A$2:$A$22,0))</f>
        <v/>
      </c>
      <c r="D182" t="inlineStr">
        <is>
          <t>Opinión/Actitud — indicador 1 (Frecuencia e intensidad declarada de apuestas de dinero en cualquier m…)</t>
        </is>
      </c>
      <c r="E182" t="inlineStr">
        <is>
          <t>1-Opinión/Actitud</t>
        </is>
      </c>
      <c r="F182" t="n">
        <v>0</v>
      </c>
      <c r="G182" t="n">
        <v>4</v>
      </c>
      <c r="H182" t="inlineStr">
        <is>
          <t>Directo</t>
        </is>
      </c>
      <c r="I182" t="n">
        <v>0</v>
      </c>
      <c r="J182">
        <f>IF(H182="Inverso",G182-I182,I182)</f>
        <v/>
      </c>
      <c r="K182">
        <f>IFERROR(J182/G182,0)</f>
        <v/>
      </c>
      <c r="L182" t="inlineStr">
        <is>
          <t>R182</t>
        </is>
      </c>
      <c r="M182" t="inlineStr">
        <is>
          <t>Si</t>
        </is>
      </c>
      <c r="N182">
        <f>INDEX(Pesos_Dimensiones!$C$2:$C$22,MATCH(B182,Pesos_Dimensiones!$A$2:$A$22,0))</f>
        <v/>
      </c>
      <c r="O182">
        <f>1/COUNTIF($B$2:$B$211,B182)</f>
        <v/>
      </c>
      <c r="P182">
        <f>IF(OR(C182="Base",C182="Adicional"),N182*O182,0)</f>
        <v/>
      </c>
      <c r="Q182">
        <f>K182*P182</f>
        <v/>
      </c>
    </row>
    <row r="183">
      <c r="A183" t="inlineStr">
        <is>
          <t>R182</t>
        </is>
      </c>
      <c r="B183" t="inlineStr">
        <is>
          <t>Ludopatía</t>
        </is>
      </c>
      <c r="C183">
        <f>INDEX(Pesos_Dimensiones!$B$2:$B$22,MATCH(B183,Pesos_Dimensiones!$A$2:$A$22,0))</f>
        <v/>
      </c>
      <c r="D183" t="inlineStr">
        <is>
          <t>Intención futura — indicador 1 (Frecuencia e intensidad declarada de apuestas de dinero en cualquier m…)</t>
        </is>
      </c>
      <c r="E183" t="inlineStr">
        <is>
          <t>6-Intención futura</t>
        </is>
      </c>
      <c r="F183" t="n">
        <v>0</v>
      </c>
      <c r="G183" t="n">
        <v>4</v>
      </c>
      <c r="H183" t="inlineStr">
        <is>
          <t>Inverso</t>
        </is>
      </c>
      <c r="I183" t="n">
        <v>0</v>
      </c>
      <c r="J183">
        <f>IF(H183="Inverso",G183-I183,I183)</f>
        <v/>
      </c>
      <c r="K183">
        <f>IFERROR(J183/G183,0)</f>
        <v/>
      </c>
      <c r="L183" t="inlineStr">
        <is>
          <t>R181</t>
        </is>
      </c>
      <c r="M183" t="inlineStr">
        <is>
          <t>Si</t>
        </is>
      </c>
      <c r="N183">
        <f>INDEX(Pesos_Dimensiones!$C$2:$C$22,MATCH(B183,Pesos_Dimensiones!$A$2:$A$22,0))</f>
        <v/>
      </c>
      <c r="O183">
        <f>1/COUNTIF($B$2:$B$211,B183)</f>
        <v/>
      </c>
      <c r="P183">
        <f>IF(OR(C183="Base",C183="Adicional"),N183*O183,0)</f>
        <v/>
      </c>
      <c r="Q183">
        <f>K183*P183</f>
        <v/>
      </c>
    </row>
    <row r="184">
      <c r="A184" t="inlineStr">
        <is>
          <t>R183</t>
        </is>
      </c>
      <c r="B184" t="inlineStr">
        <is>
          <t>Ludopatía</t>
        </is>
      </c>
      <c r="C184">
        <f>INDEX(Pesos_Dimensiones!$B$2:$B$22,MATCH(B184,Pesos_Dimensiones!$A$2:$A$22,0))</f>
        <v/>
      </c>
      <c r="D184" t="inlineStr">
        <is>
          <t>Involucramiento pasado — indicador 2 (Persistencia en el juego a pesar de pérdidas económicas relevantes.)</t>
        </is>
      </c>
      <c r="E184" t="inlineStr">
        <is>
          <t>3-Involucramiento pasado</t>
        </is>
      </c>
      <c r="F184" t="n">
        <v>0</v>
      </c>
      <c r="G184" t="n">
        <v>4</v>
      </c>
      <c r="H184" t="inlineStr">
        <is>
          <t>Directo</t>
        </is>
      </c>
      <c r="I184" t="n">
        <v>0</v>
      </c>
      <c r="J184">
        <f>IF(H184="Inverso",G184-I184,I184)</f>
        <v/>
      </c>
      <c r="K184">
        <f>IFERROR(J184/G184,0)</f>
        <v/>
      </c>
      <c r="L184" t="inlineStr">
        <is>
          <t>R184</t>
        </is>
      </c>
      <c r="M184" t="inlineStr">
        <is>
          <t>Si</t>
        </is>
      </c>
      <c r="N184">
        <f>INDEX(Pesos_Dimensiones!$C$2:$C$22,MATCH(B184,Pesos_Dimensiones!$A$2:$A$22,0))</f>
        <v/>
      </c>
      <c r="O184">
        <f>1/COUNTIF($B$2:$B$211,B184)</f>
        <v/>
      </c>
      <c r="P184">
        <f>IF(OR(C184="Base",C184="Adicional"),N184*O184,0)</f>
        <v/>
      </c>
      <c r="Q184">
        <f>K184*P184</f>
        <v/>
      </c>
    </row>
    <row r="185">
      <c r="A185" t="inlineStr">
        <is>
          <t>R184</t>
        </is>
      </c>
      <c r="B185" t="inlineStr">
        <is>
          <t>Ludopatía</t>
        </is>
      </c>
      <c r="C185">
        <f>INDEX(Pesos_Dimensiones!$B$2:$B$22,MATCH(B185,Pesos_Dimensiones!$A$2:$A$22,0))</f>
        <v/>
      </c>
      <c r="D185" t="inlineStr">
        <is>
          <t>Escenario/dilema — indicador 2 (Persistencia en el juego a pesar de pérdidas económicas relevantes.)</t>
        </is>
      </c>
      <c r="E185" t="inlineStr">
        <is>
          <t>4-Escenario/dilema</t>
        </is>
      </c>
      <c r="F185" t="n">
        <v>0</v>
      </c>
      <c r="G185" t="n">
        <v>3</v>
      </c>
      <c r="H185" t="inlineStr">
        <is>
          <t>Directo</t>
        </is>
      </c>
      <c r="I185" t="n">
        <v>0</v>
      </c>
      <c r="J185">
        <f>IF(H185="Inverso",G185-I185,I185)</f>
        <v/>
      </c>
      <c r="K185">
        <f>IFERROR(J185/G185,0)</f>
        <v/>
      </c>
      <c r="L185" t="inlineStr">
        <is>
          <t>R183</t>
        </is>
      </c>
      <c r="M185" t="inlineStr">
        <is>
          <t>Si</t>
        </is>
      </c>
      <c r="N185">
        <f>INDEX(Pesos_Dimensiones!$C$2:$C$22,MATCH(B185,Pesos_Dimensiones!$A$2:$A$22,0))</f>
        <v/>
      </c>
      <c r="O185">
        <f>1/COUNTIF($B$2:$B$211,B185)</f>
        <v/>
      </c>
      <c r="P185">
        <f>IF(OR(C185="Base",C185="Adicional"),N185*O185,0)</f>
        <v/>
      </c>
      <c r="Q185">
        <f>K185*P185</f>
        <v/>
      </c>
    </row>
    <row r="186">
      <c r="A186" t="inlineStr">
        <is>
          <t>R185</t>
        </is>
      </c>
      <c r="B186" t="inlineStr">
        <is>
          <t>Ludopatía</t>
        </is>
      </c>
      <c r="C186">
        <f>INDEX(Pesos_Dimensiones!$B$2:$B$22,MATCH(B186,Pesos_Dimensiones!$A$2:$A$22,0))</f>
        <v/>
      </c>
      <c r="D186" t="inlineStr">
        <is>
          <t>Percepción de terceros — indicador 3 (Uso de recursos destinados a otras necesidades para financiar la condu…)</t>
        </is>
      </c>
      <c r="E186" t="inlineStr">
        <is>
          <t>2-Percepción de terceros</t>
        </is>
      </c>
      <c r="F186" t="n">
        <v>0</v>
      </c>
      <c r="G186" t="n">
        <v>3</v>
      </c>
      <c r="H186" t="inlineStr">
        <is>
          <t>Directo</t>
        </is>
      </c>
      <c r="I186" t="n">
        <v>0</v>
      </c>
      <c r="J186">
        <f>IF(H186="Inverso",G186-I186,I186)</f>
        <v/>
      </c>
      <c r="K186">
        <f>IFERROR(J186/G186,0)</f>
        <v/>
      </c>
      <c r="L186" t="inlineStr">
        <is>
          <t>R186</t>
        </is>
      </c>
      <c r="M186" t="inlineStr">
        <is>
          <t>Si</t>
        </is>
      </c>
      <c r="N186">
        <f>INDEX(Pesos_Dimensiones!$C$2:$C$22,MATCH(B186,Pesos_Dimensiones!$A$2:$A$22,0))</f>
        <v/>
      </c>
      <c r="O186">
        <f>1/COUNTIF($B$2:$B$211,B186)</f>
        <v/>
      </c>
      <c r="P186">
        <f>IF(OR(C186="Base",C186="Adicional"),N186*O186,0)</f>
        <v/>
      </c>
      <c r="Q186">
        <f>K186*P186</f>
        <v/>
      </c>
    </row>
    <row r="187">
      <c r="A187" t="inlineStr">
        <is>
          <t>R186</t>
        </is>
      </c>
      <c r="B187" t="inlineStr">
        <is>
          <t>Ludopatía</t>
        </is>
      </c>
      <c r="C187">
        <f>INDEX(Pesos_Dimensiones!$B$2:$B$22,MATCH(B187,Pesos_Dimensiones!$A$2:$A$22,0))</f>
        <v/>
      </c>
      <c r="D187" t="inlineStr">
        <is>
          <t>Opinión/Actitud — indicador 3 (Uso de recursos destinados a otras necesidades para financiar la condu…)</t>
        </is>
      </c>
      <c r="E187" t="inlineStr">
        <is>
          <t>1-Opinión/Actitud</t>
        </is>
      </c>
      <c r="F187" t="n">
        <v>0</v>
      </c>
      <c r="G187" t="n">
        <v>4</v>
      </c>
      <c r="H187" t="inlineStr">
        <is>
          <t>Directo</t>
        </is>
      </c>
      <c r="I187" t="n">
        <v>0</v>
      </c>
      <c r="J187">
        <f>IF(H187="Inverso",G187-I187,I187)</f>
        <v/>
      </c>
      <c r="K187">
        <f>IFERROR(J187/G187,0)</f>
        <v/>
      </c>
      <c r="L187" t="inlineStr">
        <is>
          <t>R185</t>
        </is>
      </c>
      <c r="M187" t="inlineStr">
        <is>
          <t>Si</t>
        </is>
      </c>
      <c r="N187">
        <f>INDEX(Pesos_Dimensiones!$C$2:$C$22,MATCH(B187,Pesos_Dimensiones!$A$2:$A$22,0))</f>
        <v/>
      </c>
      <c r="O187">
        <f>1/COUNTIF($B$2:$B$211,B187)</f>
        <v/>
      </c>
      <c r="P187">
        <f>IF(OR(C187="Base",C187="Adicional"),N187*O187,0)</f>
        <v/>
      </c>
      <c r="Q187">
        <f>K187*P187</f>
        <v/>
      </c>
    </row>
    <row r="188">
      <c r="A188" t="inlineStr">
        <is>
          <t>R187</t>
        </is>
      </c>
      <c r="B188" t="inlineStr">
        <is>
          <t>Ludopatía</t>
        </is>
      </c>
      <c r="C188">
        <f>INDEX(Pesos_Dimensiones!$B$2:$B$22,MATCH(B188,Pesos_Dimensiones!$A$2:$A$22,0))</f>
        <v/>
      </c>
      <c r="D188" t="inlineStr">
        <is>
          <t>Involucramiento pasado — indicador 4 (Dificultad declarada para detener o controlar la conducta de apuesta.)</t>
        </is>
      </c>
      <c r="E188" t="inlineStr">
        <is>
          <t>3-Involucramiento pasado</t>
        </is>
      </c>
      <c r="F188" t="n">
        <v>0</v>
      </c>
      <c r="G188" t="n">
        <v>4</v>
      </c>
      <c r="H188" t="inlineStr">
        <is>
          <t>Directo</t>
        </is>
      </c>
      <c r="I188" t="n">
        <v>0</v>
      </c>
      <c r="J188">
        <f>IF(H188="Inverso",G188-I188,I188)</f>
        <v/>
      </c>
      <c r="K188">
        <f>IFERROR(J188/G188,0)</f>
        <v/>
      </c>
      <c r="L188" t="inlineStr">
        <is>
          <t>R188</t>
        </is>
      </c>
      <c r="M188" t="inlineStr">
        <is>
          <t>Si</t>
        </is>
      </c>
      <c r="N188">
        <f>INDEX(Pesos_Dimensiones!$C$2:$C$22,MATCH(B188,Pesos_Dimensiones!$A$2:$A$22,0))</f>
        <v/>
      </c>
      <c r="O188">
        <f>1/COUNTIF($B$2:$B$211,B188)</f>
        <v/>
      </c>
      <c r="P188">
        <f>IF(OR(C188="Base",C188="Adicional"),N188*O188,0)</f>
        <v/>
      </c>
      <c r="Q188">
        <f>K188*P188</f>
        <v/>
      </c>
    </row>
    <row r="189">
      <c r="A189" t="inlineStr">
        <is>
          <t>R188</t>
        </is>
      </c>
      <c r="B189" t="inlineStr">
        <is>
          <t>Ludopatía</t>
        </is>
      </c>
      <c r="C189">
        <f>INDEX(Pesos_Dimensiones!$B$2:$B$22,MATCH(B189,Pesos_Dimensiones!$A$2:$A$22,0))</f>
        <v/>
      </c>
      <c r="D189" t="inlineStr">
        <is>
          <t>Intención futura — indicador 4 (Dificultad declarada para detener o controlar la conducta de apuesta.)</t>
        </is>
      </c>
      <c r="E189" t="inlineStr">
        <is>
          <t>6-Intención futura</t>
        </is>
      </c>
      <c r="F189" t="n">
        <v>0</v>
      </c>
      <c r="G189" t="n">
        <v>4</v>
      </c>
      <c r="H189" t="inlineStr">
        <is>
          <t>Inverso</t>
        </is>
      </c>
      <c r="I189" t="n">
        <v>0</v>
      </c>
      <c r="J189">
        <f>IF(H189="Inverso",G189-I189,I189)</f>
        <v/>
      </c>
      <c r="K189">
        <f>IFERROR(J189/G189,0)</f>
        <v/>
      </c>
      <c r="L189" t="inlineStr">
        <is>
          <t>R187</t>
        </is>
      </c>
      <c r="M189" t="inlineStr">
        <is>
          <t>Si</t>
        </is>
      </c>
      <c r="N189">
        <f>INDEX(Pesos_Dimensiones!$C$2:$C$22,MATCH(B189,Pesos_Dimensiones!$A$2:$A$22,0))</f>
        <v/>
      </c>
      <c r="O189">
        <f>1/COUNTIF($B$2:$B$211,B189)</f>
        <v/>
      </c>
      <c r="P189">
        <f>IF(OR(C189="Base",C189="Adicional"),N189*O189,0)</f>
        <v/>
      </c>
      <c r="Q189">
        <f>K189*P189</f>
        <v/>
      </c>
    </row>
    <row r="190">
      <c r="A190" t="inlineStr">
        <is>
          <t>R189</t>
        </is>
      </c>
      <c r="B190" t="inlineStr">
        <is>
          <t>Ludopatía</t>
        </is>
      </c>
      <c r="C190">
        <f>INDEX(Pesos_Dimensiones!$B$2:$B$22,MATCH(B190,Pesos_Dimensiones!$A$2:$A$22,0))</f>
        <v/>
      </c>
      <c r="D190" t="inlineStr">
        <is>
          <t>Escenario/dilema — indicador 1 (Frecuencia e intensidad declarada de apuestas de dinero en cualquier m…)</t>
        </is>
      </c>
      <c r="E190" t="inlineStr">
        <is>
          <t>4-Escenario/dilema</t>
        </is>
      </c>
      <c r="F190" t="n">
        <v>0</v>
      </c>
      <c r="G190" t="n">
        <v>3</v>
      </c>
      <c r="H190" t="inlineStr">
        <is>
          <t>Directo</t>
        </is>
      </c>
      <c r="I190" t="n">
        <v>0</v>
      </c>
      <c r="J190">
        <f>IF(H190="Inverso",G190-I190,I190)</f>
        <v/>
      </c>
      <c r="K190">
        <f>IFERROR(J190/G190,0)</f>
        <v/>
      </c>
      <c r="L190" t="inlineStr">
        <is>
          <t>R190</t>
        </is>
      </c>
      <c r="M190" t="inlineStr">
        <is>
          <t>Si</t>
        </is>
      </c>
      <c r="N190">
        <f>INDEX(Pesos_Dimensiones!$C$2:$C$22,MATCH(B190,Pesos_Dimensiones!$A$2:$A$22,0))</f>
        <v/>
      </c>
      <c r="O190">
        <f>1/COUNTIF($B$2:$B$211,B190)</f>
        <v/>
      </c>
      <c r="P190">
        <f>IF(OR(C190="Base",C190="Adicional"),N190*O190,0)</f>
        <v/>
      </c>
      <c r="Q190">
        <f>K190*P190</f>
        <v/>
      </c>
    </row>
    <row r="191">
      <c r="A191" t="inlineStr">
        <is>
          <t>R190</t>
        </is>
      </c>
      <c r="B191" t="inlineStr">
        <is>
          <t>Ludopatía</t>
        </is>
      </c>
      <c r="C191">
        <f>INDEX(Pesos_Dimensiones!$B$2:$B$22,MATCH(B191,Pesos_Dimensiones!$A$2:$A$22,0))</f>
        <v/>
      </c>
      <c r="D191" t="inlineStr">
        <is>
          <t>Percepción de terceros — indicador 1 (Frecuencia e intensidad declarada de apuestas de dinero en cualquier m…)</t>
        </is>
      </c>
      <c r="E191" t="inlineStr">
        <is>
          <t>2-Percepción de terceros</t>
        </is>
      </c>
      <c r="F191" t="n">
        <v>0</v>
      </c>
      <c r="G191" t="n">
        <v>3</v>
      </c>
      <c r="H191" t="inlineStr">
        <is>
          <t>Directo</t>
        </is>
      </c>
      <c r="I191" t="n">
        <v>0</v>
      </c>
      <c r="J191">
        <f>IF(H191="Inverso",G191-I191,I191)</f>
        <v/>
      </c>
      <c r="K191">
        <f>IFERROR(J191/G191,0)</f>
        <v/>
      </c>
      <c r="L191" t="inlineStr">
        <is>
          <t>R189</t>
        </is>
      </c>
      <c r="M191" t="inlineStr">
        <is>
          <t>Si</t>
        </is>
      </c>
      <c r="N191">
        <f>INDEX(Pesos_Dimensiones!$C$2:$C$22,MATCH(B191,Pesos_Dimensiones!$A$2:$A$22,0))</f>
        <v/>
      </c>
      <c r="O191">
        <f>1/COUNTIF($B$2:$B$211,B191)</f>
        <v/>
      </c>
      <c r="P191">
        <f>IF(OR(C191="Base",C191="Adicional"),N191*O191,0)</f>
        <v/>
      </c>
      <c r="Q191">
        <f>K191*P191</f>
        <v/>
      </c>
    </row>
    <row r="192">
      <c r="A192" t="inlineStr">
        <is>
          <t>R191</t>
        </is>
      </c>
      <c r="B192" t="inlineStr">
        <is>
          <t>Egoísmo</t>
        </is>
      </c>
      <c r="C192">
        <f>INDEX(Pesos_Dimensiones!$B$2:$B$22,MATCH(B192,Pesos_Dimensiones!$A$2:$A$22,0))</f>
        <v/>
      </c>
      <c r="D192" t="inlineStr">
        <is>
          <t>Opinión/Actitud — indicador 1 (Priorización sistemática del interés propio sobre el bienestar colecti…)</t>
        </is>
      </c>
      <c r="E192" t="inlineStr">
        <is>
          <t>1-Opinión/Actitud</t>
        </is>
      </c>
      <c r="F192" t="n">
        <v>0</v>
      </c>
      <c r="G192" t="n">
        <v>4</v>
      </c>
      <c r="H192" t="inlineStr">
        <is>
          <t>Directo</t>
        </is>
      </c>
      <c r="I192" t="n">
        <v>0</v>
      </c>
      <c r="J192">
        <f>IF(H192="Inverso",G192-I192,I192)</f>
        <v/>
      </c>
      <c r="K192">
        <f>IFERROR(J192/G192,0)</f>
        <v/>
      </c>
      <c r="L192" t="inlineStr">
        <is>
          <t>R192</t>
        </is>
      </c>
      <c r="M192" t="inlineStr">
        <is>
          <t>Si</t>
        </is>
      </c>
      <c r="N192">
        <f>INDEX(Pesos_Dimensiones!$C$2:$C$22,MATCH(B192,Pesos_Dimensiones!$A$2:$A$22,0))</f>
        <v/>
      </c>
      <c r="O192">
        <f>1/COUNTIF($B$2:$B$211,B192)</f>
        <v/>
      </c>
      <c r="P192">
        <f>IF(OR(C192="Base",C192="Adicional"),N192*O192,0)</f>
        <v/>
      </c>
      <c r="Q192">
        <f>K192*P192</f>
        <v/>
      </c>
    </row>
    <row r="193">
      <c r="A193" t="inlineStr">
        <is>
          <t>R192</t>
        </is>
      </c>
      <c r="B193" t="inlineStr">
        <is>
          <t>Egoísmo</t>
        </is>
      </c>
      <c r="C193">
        <f>INDEX(Pesos_Dimensiones!$B$2:$B$22,MATCH(B193,Pesos_Dimensiones!$A$2:$A$22,0))</f>
        <v/>
      </c>
      <c r="D193" t="inlineStr">
        <is>
          <t>Intención futura — indicador 1 (Priorización sistemática del interés propio sobre el bienestar colecti…)</t>
        </is>
      </c>
      <c r="E193" t="inlineStr">
        <is>
          <t>6-Intención futura</t>
        </is>
      </c>
      <c r="F193" t="n">
        <v>0</v>
      </c>
      <c r="G193" t="n">
        <v>4</v>
      </c>
      <c r="H193" t="inlineStr">
        <is>
          <t>Inverso</t>
        </is>
      </c>
      <c r="I193" t="n">
        <v>0</v>
      </c>
      <c r="J193">
        <f>IF(H193="Inverso",G193-I193,I193)</f>
        <v/>
      </c>
      <c r="K193">
        <f>IFERROR(J193/G193,0)</f>
        <v/>
      </c>
      <c r="L193" t="inlineStr">
        <is>
          <t>R191</t>
        </is>
      </c>
      <c r="M193" t="inlineStr">
        <is>
          <t>Si</t>
        </is>
      </c>
      <c r="N193">
        <f>INDEX(Pesos_Dimensiones!$C$2:$C$22,MATCH(B193,Pesos_Dimensiones!$A$2:$A$22,0))</f>
        <v/>
      </c>
      <c r="O193">
        <f>1/COUNTIF($B$2:$B$211,B193)</f>
        <v/>
      </c>
      <c r="P193">
        <f>IF(OR(C193="Base",C193="Adicional"),N193*O193,0)</f>
        <v/>
      </c>
      <c r="Q193">
        <f>K193*P193</f>
        <v/>
      </c>
    </row>
    <row r="194">
      <c r="A194" t="inlineStr">
        <is>
          <t>R193</t>
        </is>
      </c>
      <c r="B194" t="inlineStr">
        <is>
          <t>Egoísmo</t>
        </is>
      </c>
      <c r="C194">
        <f>INDEX(Pesos_Dimensiones!$B$2:$B$22,MATCH(B194,Pesos_Dimensiones!$A$2:$A$22,0))</f>
        <v/>
      </c>
      <c r="D194" t="inlineStr">
        <is>
          <t>Involucramiento pasado — indicador 2 (Baja disposición declarada a la cooperación cuando no existe un benefi…)</t>
        </is>
      </c>
      <c r="E194" t="inlineStr">
        <is>
          <t>3-Involucramiento pasado</t>
        </is>
      </c>
      <c r="F194" t="n">
        <v>0</v>
      </c>
      <c r="G194" t="n">
        <v>4</v>
      </c>
      <c r="H194" t="inlineStr">
        <is>
          <t>Directo</t>
        </is>
      </c>
      <c r="I194" t="n">
        <v>0</v>
      </c>
      <c r="J194">
        <f>IF(H194="Inverso",G194-I194,I194)</f>
        <v/>
      </c>
      <c r="K194">
        <f>IFERROR(J194/G194,0)</f>
        <v/>
      </c>
      <c r="L194" t="inlineStr">
        <is>
          <t>R194</t>
        </is>
      </c>
      <c r="M194" t="inlineStr">
        <is>
          <t>Si</t>
        </is>
      </c>
      <c r="N194">
        <f>INDEX(Pesos_Dimensiones!$C$2:$C$22,MATCH(B194,Pesos_Dimensiones!$A$2:$A$22,0))</f>
        <v/>
      </c>
      <c r="O194">
        <f>1/COUNTIF($B$2:$B$211,B194)</f>
        <v/>
      </c>
      <c r="P194">
        <f>IF(OR(C194="Base",C194="Adicional"),N194*O194,0)</f>
        <v/>
      </c>
      <c r="Q194">
        <f>K194*P194</f>
        <v/>
      </c>
    </row>
    <row r="195">
      <c r="A195" t="inlineStr">
        <is>
          <t>R194</t>
        </is>
      </c>
      <c r="B195" t="inlineStr">
        <is>
          <t>Egoísmo</t>
        </is>
      </c>
      <c r="C195">
        <f>INDEX(Pesos_Dimensiones!$B$2:$B$22,MATCH(B195,Pesos_Dimensiones!$A$2:$A$22,0))</f>
        <v/>
      </c>
      <c r="D195" t="inlineStr">
        <is>
          <t>Escenario/dilema — indicador 2 (Baja disposición declarada a la cooperación cuando no existe un benefi…)</t>
        </is>
      </c>
      <c r="E195" t="inlineStr">
        <is>
          <t>4-Escenario/dilema</t>
        </is>
      </c>
      <c r="F195" t="n">
        <v>0</v>
      </c>
      <c r="G195" t="n">
        <v>3</v>
      </c>
      <c r="H195" t="inlineStr">
        <is>
          <t>Directo</t>
        </is>
      </c>
      <c r="I195" t="n">
        <v>0</v>
      </c>
      <c r="J195">
        <f>IF(H195="Inverso",G195-I195,I195)</f>
        <v/>
      </c>
      <c r="K195">
        <f>IFERROR(J195/G195,0)</f>
        <v/>
      </c>
      <c r="L195" t="inlineStr">
        <is>
          <t>R193</t>
        </is>
      </c>
      <c r="M195" t="inlineStr">
        <is>
          <t>Si</t>
        </is>
      </c>
      <c r="N195">
        <f>INDEX(Pesos_Dimensiones!$C$2:$C$22,MATCH(B195,Pesos_Dimensiones!$A$2:$A$22,0))</f>
        <v/>
      </c>
      <c r="O195">
        <f>1/COUNTIF($B$2:$B$211,B195)</f>
        <v/>
      </c>
      <c r="P195">
        <f>IF(OR(C195="Base",C195="Adicional"),N195*O195,0)</f>
        <v/>
      </c>
      <c r="Q195">
        <f>K195*P195</f>
        <v/>
      </c>
    </row>
    <row r="196">
      <c r="A196" t="inlineStr">
        <is>
          <t>R195</t>
        </is>
      </c>
      <c r="B196" t="inlineStr">
        <is>
          <t>Egoísmo</t>
        </is>
      </c>
      <c r="C196">
        <f>INDEX(Pesos_Dimensiones!$B$2:$B$22,MATCH(B196,Pesos_Dimensiones!$A$2:$A$22,0))</f>
        <v/>
      </c>
      <c r="D196" t="inlineStr">
        <is>
          <t>Percepción de terceros — indicador 3 (Indiferencia declarada ante el impacto negativo de las propias decisio…)</t>
        </is>
      </c>
      <c r="E196" t="inlineStr">
        <is>
          <t>2-Percepción de terceros</t>
        </is>
      </c>
      <c r="F196" t="n">
        <v>0</v>
      </c>
      <c r="G196" t="n">
        <v>3</v>
      </c>
      <c r="H196" t="inlineStr">
        <is>
          <t>Directo</t>
        </is>
      </c>
      <c r="I196" t="n">
        <v>0</v>
      </c>
      <c r="J196">
        <f>IF(H196="Inverso",G196-I196,I196)</f>
        <v/>
      </c>
      <c r="K196">
        <f>IFERROR(J196/G196,0)</f>
        <v/>
      </c>
      <c r="L196" t="inlineStr">
        <is>
          <t>R196</t>
        </is>
      </c>
      <c r="M196" t="inlineStr">
        <is>
          <t>Si</t>
        </is>
      </c>
      <c r="N196">
        <f>INDEX(Pesos_Dimensiones!$C$2:$C$22,MATCH(B196,Pesos_Dimensiones!$A$2:$A$22,0))</f>
        <v/>
      </c>
      <c r="O196">
        <f>1/COUNTIF($B$2:$B$211,B196)</f>
        <v/>
      </c>
      <c r="P196">
        <f>IF(OR(C196="Base",C196="Adicional"),N196*O196,0)</f>
        <v/>
      </c>
      <c r="Q196">
        <f>K196*P196</f>
        <v/>
      </c>
    </row>
    <row r="197">
      <c r="A197" t="inlineStr">
        <is>
          <t>R196</t>
        </is>
      </c>
      <c r="B197" t="inlineStr">
        <is>
          <t>Egoísmo</t>
        </is>
      </c>
      <c r="C197">
        <f>INDEX(Pesos_Dimensiones!$B$2:$B$22,MATCH(B197,Pesos_Dimensiones!$A$2:$A$22,0))</f>
        <v/>
      </c>
      <c r="D197" t="inlineStr">
        <is>
          <t>Opinión/Actitud — indicador 3 (Indiferencia declarada ante el impacto negativo de las propias decisio…)</t>
        </is>
      </c>
      <c r="E197" t="inlineStr">
        <is>
          <t>1-Opinión/Actitud</t>
        </is>
      </c>
      <c r="F197" t="n">
        <v>0</v>
      </c>
      <c r="G197" t="n">
        <v>4</v>
      </c>
      <c r="H197" t="inlineStr">
        <is>
          <t>Directo</t>
        </is>
      </c>
      <c r="I197" t="n">
        <v>0</v>
      </c>
      <c r="J197">
        <f>IF(H197="Inverso",G197-I197,I197)</f>
        <v/>
      </c>
      <c r="K197">
        <f>IFERROR(J197/G197,0)</f>
        <v/>
      </c>
      <c r="L197" t="inlineStr">
        <is>
          <t>R195</t>
        </is>
      </c>
      <c r="M197" t="inlineStr">
        <is>
          <t>Si</t>
        </is>
      </c>
      <c r="N197">
        <f>INDEX(Pesos_Dimensiones!$C$2:$C$22,MATCH(B197,Pesos_Dimensiones!$A$2:$A$22,0))</f>
        <v/>
      </c>
      <c r="O197">
        <f>1/COUNTIF($B$2:$B$211,B197)</f>
        <v/>
      </c>
      <c r="P197">
        <f>IF(OR(C197="Base",C197="Adicional"),N197*O197,0)</f>
        <v/>
      </c>
      <c r="Q197">
        <f>K197*P197</f>
        <v/>
      </c>
    </row>
    <row r="198">
      <c r="A198" t="inlineStr">
        <is>
          <t>R197</t>
        </is>
      </c>
      <c r="B198" t="inlineStr">
        <is>
          <t>Egoísmo</t>
        </is>
      </c>
      <c r="C198">
        <f>INDEX(Pesos_Dimensiones!$B$2:$B$22,MATCH(B198,Pesos_Dimensiones!$A$2:$A$22,0))</f>
        <v/>
      </c>
      <c r="D198" t="inlineStr">
        <is>
          <t>Involucramiento pasado — indicador 4 (Justificación de decisiones egoístas como parte de "la naturaleza huma…)</t>
        </is>
      </c>
      <c r="E198" t="inlineStr">
        <is>
          <t>3-Involucramiento pasado</t>
        </is>
      </c>
      <c r="F198" t="n">
        <v>0</v>
      </c>
      <c r="G198" t="n">
        <v>4</v>
      </c>
      <c r="H198" t="inlineStr">
        <is>
          <t>Directo</t>
        </is>
      </c>
      <c r="I198" t="n">
        <v>0</v>
      </c>
      <c r="J198">
        <f>IF(H198="Inverso",G198-I198,I198)</f>
        <v/>
      </c>
      <c r="K198">
        <f>IFERROR(J198/G198,0)</f>
        <v/>
      </c>
      <c r="L198" t="inlineStr">
        <is>
          <t>R198</t>
        </is>
      </c>
      <c r="M198" t="inlineStr">
        <is>
          <t>Si</t>
        </is>
      </c>
      <c r="N198">
        <f>INDEX(Pesos_Dimensiones!$C$2:$C$22,MATCH(B198,Pesos_Dimensiones!$A$2:$A$22,0))</f>
        <v/>
      </c>
      <c r="O198">
        <f>1/COUNTIF($B$2:$B$211,B198)</f>
        <v/>
      </c>
      <c r="P198">
        <f>IF(OR(C198="Base",C198="Adicional"),N198*O198,0)</f>
        <v/>
      </c>
      <c r="Q198">
        <f>K198*P198</f>
        <v/>
      </c>
    </row>
    <row r="199">
      <c r="A199" t="inlineStr">
        <is>
          <t>R198</t>
        </is>
      </c>
      <c r="B199" t="inlineStr">
        <is>
          <t>Egoísmo</t>
        </is>
      </c>
      <c r="C199">
        <f>INDEX(Pesos_Dimensiones!$B$2:$B$22,MATCH(B199,Pesos_Dimensiones!$A$2:$A$22,0))</f>
        <v/>
      </c>
      <c r="D199" t="inlineStr">
        <is>
          <t>Intención futura — indicador 4 (Justificación de decisiones egoístas como parte de "la naturaleza huma…)</t>
        </is>
      </c>
      <c r="E199" t="inlineStr">
        <is>
          <t>6-Intención futura</t>
        </is>
      </c>
      <c r="F199" t="n">
        <v>0</v>
      </c>
      <c r="G199" t="n">
        <v>4</v>
      </c>
      <c r="H199" t="inlineStr">
        <is>
          <t>Inverso</t>
        </is>
      </c>
      <c r="I199" t="n">
        <v>0</v>
      </c>
      <c r="J199">
        <f>IF(H199="Inverso",G199-I199,I199)</f>
        <v/>
      </c>
      <c r="K199">
        <f>IFERROR(J199/G199,0)</f>
        <v/>
      </c>
      <c r="L199" t="inlineStr">
        <is>
          <t>R197</t>
        </is>
      </c>
      <c r="M199" t="inlineStr">
        <is>
          <t>Si</t>
        </is>
      </c>
      <c r="N199">
        <f>INDEX(Pesos_Dimensiones!$C$2:$C$22,MATCH(B199,Pesos_Dimensiones!$A$2:$A$22,0))</f>
        <v/>
      </c>
      <c r="O199">
        <f>1/COUNTIF($B$2:$B$211,B199)</f>
        <v/>
      </c>
      <c r="P199">
        <f>IF(OR(C199="Base",C199="Adicional"),N199*O199,0)</f>
        <v/>
      </c>
      <c r="Q199">
        <f>K199*P199</f>
        <v/>
      </c>
    </row>
    <row r="200">
      <c r="A200" t="inlineStr">
        <is>
          <t>R199</t>
        </is>
      </c>
      <c r="B200" t="inlineStr">
        <is>
          <t>Egoísmo</t>
        </is>
      </c>
      <c r="C200">
        <f>INDEX(Pesos_Dimensiones!$B$2:$B$22,MATCH(B200,Pesos_Dimensiones!$A$2:$A$22,0))</f>
        <v/>
      </c>
      <c r="D200" t="inlineStr">
        <is>
          <t>Escenario/dilema — indicador 1 (Priorización sistemática del interés propio sobre el bienestar colecti…)</t>
        </is>
      </c>
      <c r="E200" t="inlineStr">
        <is>
          <t>4-Escenario/dilema</t>
        </is>
      </c>
      <c r="F200" t="n">
        <v>0</v>
      </c>
      <c r="G200" t="n">
        <v>3</v>
      </c>
      <c r="H200" t="inlineStr">
        <is>
          <t>Directo</t>
        </is>
      </c>
      <c r="I200" t="n">
        <v>0</v>
      </c>
      <c r="J200">
        <f>IF(H200="Inverso",G200-I200,I200)</f>
        <v/>
      </c>
      <c r="K200">
        <f>IFERROR(J200/G200,0)</f>
        <v/>
      </c>
      <c r="L200" t="inlineStr">
        <is>
          <t>R200</t>
        </is>
      </c>
      <c r="M200" t="inlineStr">
        <is>
          <t>Si</t>
        </is>
      </c>
      <c r="N200">
        <f>INDEX(Pesos_Dimensiones!$C$2:$C$22,MATCH(B200,Pesos_Dimensiones!$A$2:$A$22,0))</f>
        <v/>
      </c>
      <c r="O200">
        <f>1/COUNTIF($B$2:$B$211,B200)</f>
        <v/>
      </c>
      <c r="P200">
        <f>IF(OR(C200="Base",C200="Adicional"),N200*O200,0)</f>
        <v/>
      </c>
      <c r="Q200">
        <f>K200*P200</f>
        <v/>
      </c>
    </row>
    <row r="201">
      <c r="A201" t="inlineStr">
        <is>
          <t>R200</t>
        </is>
      </c>
      <c r="B201" t="inlineStr">
        <is>
          <t>Egoísmo</t>
        </is>
      </c>
      <c r="C201">
        <f>INDEX(Pesos_Dimensiones!$B$2:$B$22,MATCH(B201,Pesos_Dimensiones!$A$2:$A$22,0))</f>
        <v/>
      </c>
      <c r="D201" t="inlineStr">
        <is>
          <t>Percepción de terceros — indicador 1 (Priorización sistemática del interés propio sobre el bienestar colecti…)</t>
        </is>
      </c>
      <c r="E201" t="inlineStr">
        <is>
          <t>2-Percepción de terceros</t>
        </is>
      </c>
      <c r="F201" t="n">
        <v>0</v>
      </c>
      <c r="G201" t="n">
        <v>3</v>
      </c>
      <c r="H201" t="inlineStr">
        <is>
          <t>Directo</t>
        </is>
      </c>
      <c r="I201" t="n">
        <v>0</v>
      </c>
      <c r="J201">
        <f>IF(H201="Inverso",G201-I201,I201)</f>
        <v/>
      </c>
      <c r="K201">
        <f>IFERROR(J201/G201,0)</f>
        <v/>
      </c>
      <c r="L201" t="inlineStr">
        <is>
          <t>R199</t>
        </is>
      </c>
      <c r="M201" t="inlineStr">
        <is>
          <t>Si</t>
        </is>
      </c>
      <c r="N201">
        <f>INDEX(Pesos_Dimensiones!$C$2:$C$22,MATCH(B201,Pesos_Dimensiones!$A$2:$A$22,0))</f>
        <v/>
      </c>
      <c r="O201">
        <f>1/COUNTIF($B$2:$B$211,B201)</f>
        <v/>
      </c>
      <c r="P201">
        <f>IF(OR(C201="Base",C201="Adicional"),N201*O201,0)</f>
        <v/>
      </c>
      <c r="Q201">
        <f>K201*P201</f>
        <v/>
      </c>
    </row>
    <row r="202">
      <c r="A202" t="inlineStr">
        <is>
          <t>R201</t>
        </is>
      </c>
      <c r="B202" t="inlineStr">
        <is>
          <t>Impunidad</t>
        </is>
      </c>
      <c r="C202">
        <f>INDEX(Pesos_Dimensiones!$B$2:$B$22,MATCH(B202,Pesos_Dimensiones!$A$2:$A$22,0))</f>
        <v/>
      </c>
      <c r="D202" t="inlineStr">
        <is>
          <t>Opinión/Actitud — indicador 1 (Percepción declarada de baja probabilidad de ser descubierto al actuar…)</t>
        </is>
      </c>
      <c r="E202" t="inlineStr">
        <is>
          <t>1-Opinión/Actitud</t>
        </is>
      </c>
      <c r="F202" t="n">
        <v>0</v>
      </c>
      <c r="G202" t="n">
        <v>4</v>
      </c>
      <c r="H202" t="inlineStr">
        <is>
          <t>Directo</t>
        </is>
      </c>
      <c r="I202" t="n">
        <v>0</v>
      </c>
      <c r="J202">
        <f>IF(H202="Inverso",G202-I202,I202)</f>
        <v/>
      </c>
      <c r="K202">
        <f>IFERROR(J202/G202,0)</f>
        <v/>
      </c>
      <c r="L202" t="inlineStr">
        <is>
          <t>R202</t>
        </is>
      </c>
      <c r="M202" t="inlineStr">
        <is>
          <t>Si</t>
        </is>
      </c>
      <c r="N202">
        <f>INDEX(Pesos_Dimensiones!$C$2:$C$22,MATCH(B202,Pesos_Dimensiones!$A$2:$A$22,0))</f>
        <v/>
      </c>
      <c r="O202">
        <f>1/COUNTIF($B$2:$B$211,B202)</f>
        <v/>
      </c>
      <c r="P202">
        <f>IF(OR(C202="Base",C202="Adicional"),N202*O202,0)</f>
        <v/>
      </c>
      <c r="Q202">
        <f>K202*P202</f>
        <v/>
      </c>
    </row>
    <row r="203">
      <c r="A203" t="inlineStr">
        <is>
          <t>R202</t>
        </is>
      </c>
      <c r="B203" t="inlineStr">
        <is>
          <t>Impunidad</t>
        </is>
      </c>
      <c r="C203">
        <f>INDEX(Pesos_Dimensiones!$B$2:$B$22,MATCH(B203,Pesos_Dimensiones!$A$2:$A$22,0))</f>
        <v/>
      </c>
      <c r="D203" t="inlineStr">
        <is>
          <t>Intención futura — indicador 1 (Percepción declarada de baja probabilidad de ser descubierto al actuar…)</t>
        </is>
      </c>
      <c r="E203" t="inlineStr">
        <is>
          <t>6-Intención futura</t>
        </is>
      </c>
      <c r="F203" t="n">
        <v>0</v>
      </c>
      <c r="G203" t="n">
        <v>4</v>
      </c>
      <c r="H203" t="inlineStr">
        <is>
          <t>Inverso</t>
        </is>
      </c>
      <c r="I203" t="n">
        <v>0</v>
      </c>
      <c r="J203">
        <f>IF(H203="Inverso",G203-I203,I203)</f>
        <v/>
      </c>
      <c r="K203">
        <f>IFERROR(J203/G203,0)</f>
        <v/>
      </c>
      <c r="L203" t="inlineStr">
        <is>
          <t>R201</t>
        </is>
      </c>
      <c r="M203" t="inlineStr">
        <is>
          <t>Si</t>
        </is>
      </c>
      <c r="N203">
        <f>INDEX(Pesos_Dimensiones!$C$2:$C$22,MATCH(B203,Pesos_Dimensiones!$A$2:$A$22,0))</f>
        <v/>
      </c>
      <c r="O203">
        <f>1/COUNTIF($B$2:$B$211,B203)</f>
        <v/>
      </c>
      <c r="P203">
        <f>IF(OR(C203="Base",C203="Adicional"),N203*O203,0)</f>
        <v/>
      </c>
      <c r="Q203">
        <f>K203*P203</f>
        <v/>
      </c>
    </row>
    <row r="204">
      <c r="A204" t="inlineStr">
        <is>
          <t>R203</t>
        </is>
      </c>
      <c r="B204" t="inlineStr">
        <is>
          <t>Impunidad</t>
        </is>
      </c>
      <c r="C204">
        <f>INDEX(Pesos_Dimensiones!$B$2:$B$22,MATCH(B204,Pesos_Dimensiones!$A$2:$A$22,0))</f>
        <v/>
      </c>
      <c r="D204" t="inlineStr">
        <is>
          <t>Involucramiento pasado — indicador 2 (Creencia de que los sistemas de control o sanción son poco eficaces.)</t>
        </is>
      </c>
      <c r="E204" t="inlineStr">
        <is>
          <t>3-Involucramiento pasado</t>
        </is>
      </c>
      <c r="F204" t="n">
        <v>0</v>
      </c>
      <c r="G204" t="n">
        <v>4</v>
      </c>
      <c r="H204" t="inlineStr">
        <is>
          <t>Directo</t>
        </is>
      </c>
      <c r="I204" t="n">
        <v>0</v>
      </c>
      <c r="J204">
        <f>IF(H204="Inverso",G204-I204,I204)</f>
        <v/>
      </c>
      <c r="K204">
        <f>IFERROR(J204/G204,0)</f>
        <v/>
      </c>
      <c r="L204" t="inlineStr">
        <is>
          <t>R204</t>
        </is>
      </c>
      <c r="M204" t="inlineStr">
        <is>
          <t>Si</t>
        </is>
      </c>
      <c r="N204">
        <f>INDEX(Pesos_Dimensiones!$C$2:$C$22,MATCH(B204,Pesos_Dimensiones!$A$2:$A$22,0))</f>
        <v/>
      </c>
      <c r="O204">
        <f>1/COUNTIF($B$2:$B$211,B204)</f>
        <v/>
      </c>
      <c r="P204">
        <f>IF(OR(C204="Base",C204="Adicional"),N204*O204,0)</f>
        <v/>
      </c>
      <c r="Q204">
        <f>K204*P204</f>
        <v/>
      </c>
    </row>
    <row r="205">
      <c r="A205" t="inlineStr">
        <is>
          <t>R204</t>
        </is>
      </c>
      <c r="B205" t="inlineStr">
        <is>
          <t>Impunidad</t>
        </is>
      </c>
      <c r="C205">
        <f>INDEX(Pesos_Dimensiones!$B$2:$B$22,MATCH(B205,Pesos_Dimensiones!$A$2:$A$22,0))</f>
        <v/>
      </c>
      <c r="D205" t="inlineStr">
        <is>
          <t>Escenario/dilema — indicador 2 (Creencia de que los sistemas de control o sanción son poco eficaces.)</t>
        </is>
      </c>
      <c r="E205" t="inlineStr">
        <is>
          <t>4-Escenario/dilema</t>
        </is>
      </c>
      <c r="F205" t="n">
        <v>0</v>
      </c>
      <c r="G205" t="n">
        <v>3</v>
      </c>
      <c r="H205" t="inlineStr">
        <is>
          <t>Directo</t>
        </is>
      </c>
      <c r="I205" t="n">
        <v>0</v>
      </c>
      <c r="J205">
        <f>IF(H205="Inverso",G205-I205,I205)</f>
        <v/>
      </c>
      <c r="K205">
        <f>IFERROR(J205/G205,0)</f>
        <v/>
      </c>
      <c r="L205" t="inlineStr">
        <is>
          <t>R203</t>
        </is>
      </c>
      <c r="M205" t="inlineStr">
        <is>
          <t>Si</t>
        </is>
      </c>
      <c r="N205">
        <f>INDEX(Pesos_Dimensiones!$C$2:$C$22,MATCH(B205,Pesos_Dimensiones!$A$2:$A$22,0))</f>
        <v/>
      </c>
      <c r="O205">
        <f>1/COUNTIF($B$2:$B$211,B205)</f>
        <v/>
      </c>
      <c r="P205">
        <f>IF(OR(C205="Base",C205="Adicional"),N205*O205,0)</f>
        <v/>
      </c>
      <c r="Q205">
        <f>K205*P205</f>
        <v/>
      </c>
    </row>
    <row r="206">
      <c r="A206" t="inlineStr">
        <is>
          <t>R205</t>
        </is>
      </c>
      <c r="B206" t="inlineStr">
        <is>
          <t>Impunidad</t>
        </is>
      </c>
      <c r="C206">
        <f>INDEX(Pesos_Dimensiones!$B$2:$B$22,MATCH(B206,Pesos_Dimensiones!$A$2:$A$22,0))</f>
        <v/>
      </c>
      <c r="D206" t="inlineStr">
        <is>
          <t>Percepción de terceros — indicador 3 (Historial percibido de conductas deshonestas propias sin consecuencias…)</t>
        </is>
      </c>
      <c r="E206" t="inlineStr">
        <is>
          <t>2-Percepción de terceros</t>
        </is>
      </c>
      <c r="F206" t="n">
        <v>0</v>
      </c>
      <c r="G206" t="n">
        <v>3</v>
      </c>
      <c r="H206" t="inlineStr">
        <is>
          <t>Directo</t>
        </is>
      </c>
      <c r="I206" t="n">
        <v>0</v>
      </c>
      <c r="J206">
        <f>IF(H206="Inverso",G206-I206,I206)</f>
        <v/>
      </c>
      <c r="K206">
        <f>IFERROR(J206/G206,0)</f>
        <v/>
      </c>
      <c r="L206" t="inlineStr">
        <is>
          <t>R206</t>
        </is>
      </c>
      <c r="M206" t="inlineStr">
        <is>
          <t>Si</t>
        </is>
      </c>
      <c r="N206">
        <f>INDEX(Pesos_Dimensiones!$C$2:$C$22,MATCH(B206,Pesos_Dimensiones!$A$2:$A$22,0))</f>
        <v/>
      </c>
      <c r="O206">
        <f>1/COUNTIF($B$2:$B$211,B206)</f>
        <v/>
      </c>
      <c r="P206">
        <f>IF(OR(C206="Base",C206="Adicional"),N206*O206,0)</f>
        <v/>
      </c>
      <c r="Q206">
        <f>K206*P206</f>
        <v/>
      </c>
    </row>
    <row r="207">
      <c r="A207" t="inlineStr">
        <is>
          <t>R206</t>
        </is>
      </c>
      <c r="B207" t="inlineStr">
        <is>
          <t>Impunidad</t>
        </is>
      </c>
      <c r="C207">
        <f>INDEX(Pesos_Dimensiones!$B$2:$B$22,MATCH(B207,Pesos_Dimensiones!$A$2:$A$22,0))</f>
        <v/>
      </c>
      <c r="D207" t="inlineStr">
        <is>
          <t>Opinión/Actitud — indicador 3 (Historial percibido de conductas deshonestas propias sin consecuencias…)</t>
        </is>
      </c>
      <c r="E207" t="inlineStr">
        <is>
          <t>1-Opinión/Actitud</t>
        </is>
      </c>
      <c r="F207" t="n">
        <v>0</v>
      </c>
      <c r="G207" t="n">
        <v>4</v>
      </c>
      <c r="H207" t="inlineStr">
        <is>
          <t>Directo</t>
        </is>
      </c>
      <c r="I207" t="n">
        <v>0</v>
      </c>
      <c r="J207">
        <f>IF(H207="Inverso",G207-I207,I207)</f>
        <v/>
      </c>
      <c r="K207">
        <f>IFERROR(J207/G207,0)</f>
        <v/>
      </c>
      <c r="L207" t="inlineStr">
        <is>
          <t>R205</t>
        </is>
      </c>
      <c r="M207" t="inlineStr">
        <is>
          <t>Si</t>
        </is>
      </c>
      <c r="N207">
        <f>INDEX(Pesos_Dimensiones!$C$2:$C$22,MATCH(B207,Pesos_Dimensiones!$A$2:$A$22,0))</f>
        <v/>
      </c>
      <c r="O207">
        <f>1/COUNTIF($B$2:$B$211,B207)</f>
        <v/>
      </c>
      <c r="P207">
        <f>IF(OR(C207="Base",C207="Adicional"),N207*O207,0)</f>
        <v/>
      </c>
      <c r="Q207">
        <f>K207*P207</f>
        <v/>
      </c>
    </row>
    <row r="208">
      <c r="A208" t="inlineStr">
        <is>
          <t>R207</t>
        </is>
      </c>
      <c r="B208" t="inlineStr">
        <is>
          <t>Impunidad</t>
        </is>
      </c>
      <c r="C208">
        <f>INDEX(Pesos_Dimensiones!$B$2:$B$22,MATCH(B208,Pesos_Dimensiones!$A$2:$A$22,0))</f>
        <v/>
      </c>
      <c r="D208" t="inlineStr">
        <is>
          <t>Involucramiento pasado — indicador 4 (Disposición a actuar deshonestamente cuando se percibe un bajo riesgo …)</t>
        </is>
      </c>
      <c r="E208" t="inlineStr">
        <is>
          <t>3-Involucramiento pasado</t>
        </is>
      </c>
      <c r="F208" t="n">
        <v>0</v>
      </c>
      <c r="G208" t="n">
        <v>4</v>
      </c>
      <c r="H208" t="inlineStr">
        <is>
          <t>Directo</t>
        </is>
      </c>
      <c r="I208" t="n">
        <v>0</v>
      </c>
      <c r="J208">
        <f>IF(H208="Inverso",G208-I208,I208)</f>
        <v/>
      </c>
      <c r="K208">
        <f>IFERROR(J208/G208,0)</f>
        <v/>
      </c>
      <c r="L208" t="inlineStr">
        <is>
          <t>R208</t>
        </is>
      </c>
      <c r="M208" t="inlineStr">
        <is>
          <t>Si</t>
        </is>
      </c>
      <c r="N208">
        <f>INDEX(Pesos_Dimensiones!$C$2:$C$22,MATCH(B208,Pesos_Dimensiones!$A$2:$A$22,0))</f>
        <v/>
      </c>
      <c r="O208">
        <f>1/COUNTIF($B$2:$B$211,B208)</f>
        <v/>
      </c>
      <c r="P208">
        <f>IF(OR(C208="Base",C208="Adicional"),N208*O208,0)</f>
        <v/>
      </c>
      <c r="Q208">
        <f>K208*P208</f>
        <v/>
      </c>
    </row>
    <row r="209">
      <c r="A209" t="inlineStr">
        <is>
          <t>R208</t>
        </is>
      </c>
      <c r="B209" t="inlineStr">
        <is>
          <t>Impunidad</t>
        </is>
      </c>
      <c r="C209">
        <f>INDEX(Pesos_Dimensiones!$B$2:$B$22,MATCH(B209,Pesos_Dimensiones!$A$2:$A$22,0))</f>
        <v/>
      </c>
      <c r="D209" t="inlineStr">
        <is>
          <t>Intención futura — indicador 4 (Disposición a actuar deshonestamente cuando se percibe un bajo riesgo …)</t>
        </is>
      </c>
      <c r="E209" t="inlineStr">
        <is>
          <t>6-Intención futura</t>
        </is>
      </c>
      <c r="F209" t="n">
        <v>0</v>
      </c>
      <c r="G209" t="n">
        <v>4</v>
      </c>
      <c r="H209" t="inlineStr">
        <is>
          <t>Inverso</t>
        </is>
      </c>
      <c r="I209" t="n">
        <v>0</v>
      </c>
      <c r="J209">
        <f>IF(H209="Inverso",G209-I209,I209)</f>
        <v/>
      </c>
      <c r="K209">
        <f>IFERROR(J209/G209,0)</f>
        <v/>
      </c>
      <c r="L209" t="inlineStr">
        <is>
          <t>R207</t>
        </is>
      </c>
      <c r="M209" t="inlineStr">
        <is>
          <t>Si</t>
        </is>
      </c>
      <c r="N209">
        <f>INDEX(Pesos_Dimensiones!$C$2:$C$22,MATCH(B209,Pesos_Dimensiones!$A$2:$A$22,0))</f>
        <v/>
      </c>
      <c r="O209">
        <f>1/COUNTIF($B$2:$B$211,B209)</f>
        <v/>
      </c>
      <c r="P209">
        <f>IF(OR(C209="Base",C209="Adicional"),N209*O209,0)</f>
        <v/>
      </c>
      <c r="Q209">
        <f>K209*P209</f>
        <v/>
      </c>
    </row>
    <row r="210">
      <c r="A210" t="inlineStr">
        <is>
          <t>R209</t>
        </is>
      </c>
      <c r="B210" t="inlineStr">
        <is>
          <t>Impunidad</t>
        </is>
      </c>
      <c r="C210">
        <f>INDEX(Pesos_Dimensiones!$B$2:$B$22,MATCH(B210,Pesos_Dimensiones!$A$2:$A$22,0))</f>
        <v/>
      </c>
      <c r="D210" t="inlineStr">
        <is>
          <t>Escenario/dilema — indicador 1 (Percepción declarada de baja probabilidad de ser descubierto al actuar…)</t>
        </is>
      </c>
      <c r="E210" t="inlineStr">
        <is>
          <t>4-Escenario/dilema</t>
        </is>
      </c>
      <c r="F210" t="n">
        <v>0</v>
      </c>
      <c r="G210" t="n">
        <v>3</v>
      </c>
      <c r="H210" t="inlineStr">
        <is>
          <t>Directo</t>
        </is>
      </c>
      <c r="I210" t="n">
        <v>0</v>
      </c>
      <c r="J210">
        <f>IF(H210="Inverso",G210-I210,I210)</f>
        <v/>
      </c>
      <c r="K210">
        <f>IFERROR(J210/G210,0)</f>
        <v/>
      </c>
      <c r="L210" t="inlineStr">
        <is>
          <t>R210</t>
        </is>
      </c>
      <c r="M210" t="inlineStr">
        <is>
          <t>Si</t>
        </is>
      </c>
      <c r="N210">
        <f>INDEX(Pesos_Dimensiones!$C$2:$C$22,MATCH(B210,Pesos_Dimensiones!$A$2:$A$22,0))</f>
        <v/>
      </c>
      <c r="O210">
        <f>1/COUNTIF($B$2:$B$211,B210)</f>
        <v/>
      </c>
      <c r="P210">
        <f>IF(OR(C210="Base",C210="Adicional"),N210*O210,0)</f>
        <v/>
      </c>
      <c r="Q210">
        <f>K210*P210</f>
        <v/>
      </c>
    </row>
    <row r="211">
      <c r="A211" t="inlineStr">
        <is>
          <t>R210</t>
        </is>
      </c>
      <c r="B211" t="inlineStr">
        <is>
          <t>Impunidad</t>
        </is>
      </c>
      <c r="C211">
        <f>INDEX(Pesos_Dimensiones!$B$2:$B$22,MATCH(B211,Pesos_Dimensiones!$A$2:$A$22,0))</f>
        <v/>
      </c>
      <c r="D211" t="inlineStr">
        <is>
          <t>Percepción de terceros — indicador 1 (Percepción declarada de baja probabilidad de ser descubierto al actuar…)</t>
        </is>
      </c>
      <c r="E211" t="inlineStr">
        <is>
          <t>2-Percepción de terceros</t>
        </is>
      </c>
      <c r="F211" t="n">
        <v>0</v>
      </c>
      <c r="G211" t="n">
        <v>3</v>
      </c>
      <c r="H211" t="inlineStr">
        <is>
          <t>Directo</t>
        </is>
      </c>
      <c r="I211" t="n">
        <v>0</v>
      </c>
      <c r="J211">
        <f>IF(H211="Inverso",G211-I211,I211)</f>
        <v/>
      </c>
      <c r="K211">
        <f>IFERROR(J211/G211,0)</f>
        <v/>
      </c>
      <c r="L211" t="inlineStr">
        <is>
          <t>R209</t>
        </is>
      </c>
      <c r="M211" t="inlineStr">
        <is>
          <t>Si</t>
        </is>
      </c>
      <c r="N211">
        <f>INDEX(Pesos_Dimensiones!$C$2:$C$22,MATCH(B211,Pesos_Dimensiones!$A$2:$A$22,0))</f>
        <v/>
      </c>
      <c r="O211">
        <f>1/COUNTIF($B$2:$B$211,B211)</f>
        <v/>
      </c>
      <c r="P211">
        <f>IF(OR(C211="Base",C211="Adicional"),N211*O211,0)</f>
        <v/>
      </c>
      <c r="Q211">
        <f>K211*P211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6" customWidth="1" min="1" max="1"/>
    <col width="11" customWidth="1" min="2" max="2"/>
    <col width="42" customWidth="1" min="3" max="3"/>
    <col width="42" customWidth="1" min="4" max="4"/>
  </cols>
  <sheetData>
    <row r="1">
      <c r="A1" s="1" t="inlineStr">
        <is>
          <t>Dimension</t>
        </is>
      </c>
      <c r="B1" s="1" t="inlineStr">
        <is>
          <t>Grupo</t>
        </is>
      </c>
      <c r="C1" s="1" t="inlineStr">
        <is>
          <t>Peso en el indice general (Base+Adicional, parametrizable, debe sumar 1.00)</t>
        </is>
      </c>
      <c r="D1" s="1" t="inlineStr">
        <is>
          <t>Peso como moderador (Contextual, parametrizable, informativo)</t>
        </is>
      </c>
    </row>
    <row r="2">
      <c r="A2" t="inlineStr">
        <is>
          <t>Robo</t>
        </is>
      </c>
      <c r="B2" t="inlineStr">
        <is>
          <t>Base</t>
        </is>
      </c>
      <c r="C2">
        <f>1/12</f>
        <v/>
      </c>
    </row>
    <row r="3">
      <c r="A3" t="inlineStr">
        <is>
          <t>Mentira</t>
        </is>
      </c>
      <c r="B3" t="inlineStr">
        <is>
          <t>Base</t>
        </is>
      </c>
      <c r="C3">
        <f>1/12</f>
        <v/>
      </c>
    </row>
    <row r="4">
      <c r="A4" t="inlineStr">
        <is>
          <t>Fraude</t>
        </is>
      </c>
      <c r="B4" t="inlineStr">
        <is>
          <t>Base</t>
        </is>
      </c>
      <c r="C4">
        <f>1/12</f>
        <v/>
      </c>
    </row>
    <row r="5">
      <c r="A5" t="inlineStr">
        <is>
          <t>Irresponsabilidad</t>
        </is>
      </c>
      <c r="B5" t="inlineStr">
        <is>
          <t>Base</t>
        </is>
      </c>
      <c r="C5">
        <f>1/12</f>
        <v/>
      </c>
    </row>
    <row r="6">
      <c r="A6" t="inlineStr">
        <is>
          <t>Soborno</t>
        </is>
      </c>
      <c r="B6" t="inlineStr">
        <is>
          <t>Base</t>
        </is>
      </c>
      <c r="C6">
        <f>1/12</f>
        <v/>
      </c>
    </row>
    <row r="7">
      <c r="A7" t="inlineStr">
        <is>
          <t>Deslealtad</t>
        </is>
      </c>
      <c r="B7" t="inlineStr">
        <is>
          <t>Adicional</t>
        </is>
      </c>
      <c r="C7">
        <f>1/12</f>
        <v/>
      </c>
    </row>
    <row r="8">
      <c r="A8" t="inlineStr">
        <is>
          <t>Favoritismo</t>
        </is>
      </c>
      <c r="B8" t="inlineStr">
        <is>
          <t>Adicional</t>
        </is>
      </c>
      <c r="C8">
        <f>1/12</f>
        <v/>
      </c>
    </row>
    <row r="9">
      <c r="A9" t="inlineStr">
        <is>
          <t>Abuso de Recursos</t>
        </is>
      </c>
      <c r="B9" t="inlineStr">
        <is>
          <t>Adicional</t>
        </is>
      </c>
      <c r="C9">
        <f>1/12</f>
        <v/>
      </c>
    </row>
    <row r="10">
      <c r="A10" t="inlineStr">
        <is>
          <t>Acoso Sexual</t>
        </is>
      </c>
      <c r="B10" t="inlineStr">
        <is>
          <t>Adicional</t>
        </is>
      </c>
      <c r="C10">
        <f>1/12</f>
        <v/>
      </c>
    </row>
    <row r="11">
      <c r="A11" t="inlineStr">
        <is>
          <t>Maltrato Laboral</t>
        </is>
      </c>
      <c r="B11" t="inlineStr">
        <is>
          <t>Adicional</t>
        </is>
      </c>
      <c r="C11">
        <f>1/12</f>
        <v/>
      </c>
    </row>
    <row r="12">
      <c r="A12" t="inlineStr">
        <is>
          <t>Discriminación</t>
        </is>
      </c>
      <c r="B12" t="inlineStr">
        <is>
          <t>Adicional</t>
        </is>
      </c>
      <c r="C12">
        <f>1/12</f>
        <v/>
      </c>
    </row>
    <row r="13">
      <c r="A13" t="inlineStr">
        <is>
          <t>Asociación Criminal</t>
        </is>
      </c>
      <c r="B13" t="inlineStr">
        <is>
          <t>Adicional</t>
        </is>
      </c>
      <c r="C13">
        <f>1/12</f>
        <v/>
      </c>
    </row>
    <row r="14">
      <c r="A14" t="inlineStr">
        <is>
          <t>Sustancias Lícitas</t>
        </is>
      </c>
      <c r="B14" t="inlineStr">
        <is>
          <t>Contextual</t>
        </is>
      </c>
      <c r="D14">
        <f>1/9</f>
        <v/>
      </c>
    </row>
    <row r="15">
      <c r="A15" t="inlineStr">
        <is>
          <t>Sustancias Ilícitas</t>
        </is>
      </c>
      <c r="B15" t="inlineStr">
        <is>
          <t>Contextual</t>
        </is>
      </c>
      <c r="D15">
        <f>1/9</f>
        <v/>
      </c>
    </row>
    <row r="16">
      <c r="A16" t="inlineStr">
        <is>
          <t>Incumplimiento de Normas</t>
        </is>
      </c>
      <c r="B16" t="inlineStr">
        <is>
          <t>Contextual</t>
        </is>
      </c>
      <c r="D16">
        <f>1/9</f>
        <v/>
      </c>
    </row>
    <row r="17">
      <c r="A17" t="inlineStr">
        <is>
          <t>Deudas</t>
        </is>
      </c>
      <c r="B17" t="inlineStr">
        <is>
          <t>Contextual</t>
        </is>
      </c>
      <c r="D17">
        <f>1/9</f>
        <v/>
      </c>
    </row>
    <row r="18">
      <c r="A18" t="inlineStr">
        <is>
          <t>Impulsividad</t>
        </is>
      </c>
      <c r="B18" t="inlineStr">
        <is>
          <t>Contextual</t>
        </is>
      </c>
      <c r="D18">
        <f>1/9</f>
        <v/>
      </c>
    </row>
    <row r="19">
      <c r="A19" t="inlineStr">
        <is>
          <t>Violencia</t>
        </is>
      </c>
      <c r="B19" t="inlineStr">
        <is>
          <t>Contextual</t>
        </is>
      </c>
      <c r="D19">
        <f>1/9</f>
        <v/>
      </c>
    </row>
    <row r="20">
      <c r="A20" t="inlineStr">
        <is>
          <t>Ludopatía</t>
        </is>
      </c>
      <c r="B20" t="inlineStr">
        <is>
          <t>Contextual</t>
        </is>
      </c>
      <c r="D20">
        <f>1/9</f>
        <v/>
      </c>
    </row>
    <row r="21">
      <c r="A21" t="inlineStr">
        <is>
          <t>Egoísmo</t>
        </is>
      </c>
      <c r="B21" t="inlineStr">
        <is>
          <t>Contextual</t>
        </is>
      </c>
      <c r="D21">
        <f>1/9</f>
        <v/>
      </c>
    </row>
    <row r="22">
      <c r="A22" t="inlineStr">
        <is>
          <t>Impunidad</t>
        </is>
      </c>
      <c r="B22" t="inlineStr">
        <is>
          <t>Contextual</t>
        </is>
      </c>
      <c r="D22">
        <f>1/9</f>
        <v/>
      </c>
    </row>
    <row r="23">
      <c r="A23" s="2" t="inlineStr">
        <is>
          <t>SUMA (debe ser 1.00 en columna C si TODAS las Base+Adicionales estan seleccionadas)</t>
        </is>
      </c>
      <c r="C23">
        <f>SUM(C2:C22)</f>
        <v/>
      </c>
      <c r="D23">
        <f>SUM(D2:D22)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26" customWidth="1" min="1" max="1"/>
    <col width="11" customWidth="1" min="2" max="2"/>
    <col width="30" customWidth="1" min="3" max="3"/>
    <col width="16" customWidth="1" min="4" max="4"/>
    <col width="34" customWidth="1" min="5" max="5"/>
    <col width="34" customWidth="1" min="6" max="6"/>
    <col width="34" customWidth="1" min="7" max="7"/>
    <col width="46" customWidth="1" min="8" max="8"/>
    <col width="22" customWidth="1" min="9" max="9"/>
  </cols>
  <sheetData>
    <row r="1">
      <c r="A1" s="1" t="inlineStr">
        <is>
          <t>Dimension</t>
        </is>
      </c>
      <c r="B1" s="1" t="inlineStr">
        <is>
          <t>Grupo</t>
        </is>
      </c>
      <c r="C1" s="1" t="inlineStr">
        <is>
          <t>Promedio normalizado (0-1) del ejemplo cargado</t>
        </is>
      </c>
      <c r="D1" s="1" t="inlineStr">
        <is>
          <t>Peso de la dimension</t>
        </is>
      </c>
      <c r="E1" s="1" t="inlineStr">
        <is>
          <t>Contribucion al Indice General de Integridad (IGI)</t>
        </is>
      </c>
      <c r="F1" s="1" t="inlineStr">
        <is>
          <t>IGI reportado por dimension = (1-riesgo)x100x0.95</t>
        </is>
      </c>
      <c r="G1" s="1" t="inlineStr">
        <is>
          <t>Invalidado (Si/No, input manual segun Fase 2 Seccion 5)</t>
        </is>
      </c>
      <c r="H1" s="1" t="inlineStr">
        <is>
          <t>Nivel (1-6, ver hoja Niveles_Corte)</t>
        </is>
      </c>
      <c r="I1" s="1" t="inlineStr">
        <is>
          <t>Color reportado</t>
        </is>
      </c>
    </row>
    <row r="2">
      <c r="A2" t="inlineStr">
        <is>
          <t>Robo</t>
        </is>
      </c>
      <c r="B2" t="inlineStr">
        <is>
          <t>Base</t>
        </is>
      </c>
      <c r="C2">
        <f>AVERAGEIF(Reactivos!$B$2:$B$211,A2,Reactivos!$K$2:$K$211)</f>
        <v/>
      </c>
      <c r="D2">
        <f>INDEX(Pesos_Dimensiones!$C$2:$C$22,MATCH(A2,Pesos_Dimensiones!$A$2:$A$22,0))</f>
        <v/>
      </c>
      <c r="E2">
        <f>IF(OR(B2="Base",B2="Adicional"),C2*D2,0)</f>
        <v/>
      </c>
      <c r="F2">
        <f>(1-C2)*100*0.95</f>
        <v/>
      </c>
      <c r="G2" t="inlineStr">
        <is>
          <t>No</t>
        </is>
      </c>
      <c r="H2" t="inlineStr">
        <is>
          <t>[PENDIENTE DE DATO PILOTO] - asignar nivel 1-6 segun percentil real una vez exista la hoja Niveles_Corte completa</t>
        </is>
      </c>
      <c r="I2">
        <f>IF(G2="Si","Gris","Pendiente de nivel (ver columna H)")</f>
        <v/>
      </c>
    </row>
    <row r="3">
      <c r="A3" t="inlineStr">
        <is>
          <t>Mentira</t>
        </is>
      </c>
      <c r="B3" t="inlineStr">
        <is>
          <t>Base</t>
        </is>
      </c>
      <c r="C3">
        <f>AVERAGEIF(Reactivos!$B$2:$B$211,A3,Reactivos!$K$2:$K$211)</f>
        <v/>
      </c>
      <c r="D3">
        <f>INDEX(Pesos_Dimensiones!$C$2:$C$22,MATCH(A3,Pesos_Dimensiones!$A$2:$A$22,0))</f>
        <v/>
      </c>
      <c r="E3">
        <f>IF(OR(B3="Base",B3="Adicional"),C3*D3,0)</f>
        <v/>
      </c>
      <c r="F3">
        <f>(1-C3)*100*0.95</f>
        <v/>
      </c>
      <c r="G3" t="inlineStr">
        <is>
          <t>No</t>
        </is>
      </c>
      <c r="H3" t="inlineStr">
        <is>
          <t>[PENDIENTE DE DATO PILOTO] - asignar nivel 1-6 segun percentil real una vez exista la hoja Niveles_Corte completa</t>
        </is>
      </c>
      <c r="I3">
        <f>IF(G3="Si","Gris","Pendiente de nivel (ver columna H)")</f>
        <v/>
      </c>
    </row>
    <row r="4">
      <c r="A4" t="inlineStr">
        <is>
          <t>Fraude</t>
        </is>
      </c>
      <c r="B4" t="inlineStr">
        <is>
          <t>Base</t>
        </is>
      </c>
      <c r="C4">
        <f>AVERAGEIF(Reactivos!$B$2:$B$211,A4,Reactivos!$K$2:$K$211)</f>
        <v/>
      </c>
      <c r="D4">
        <f>INDEX(Pesos_Dimensiones!$C$2:$C$22,MATCH(A4,Pesos_Dimensiones!$A$2:$A$22,0))</f>
        <v/>
      </c>
      <c r="E4">
        <f>IF(OR(B4="Base",B4="Adicional"),C4*D4,0)</f>
        <v/>
      </c>
      <c r="F4">
        <f>(1-C4)*100*0.95</f>
        <v/>
      </c>
      <c r="G4" t="inlineStr">
        <is>
          <t>No</t>
        </is>
      </c>
      <c r="H4" t="inlineStr">
        <is>
          <t>[PENDIENTE DE DATO PILOTO] - asignar nivel 1-6 segun percentil real una vez exista la hoja Niveles_Corte completa</t>
        </is>
      </c>
      <c r="I4">
        <f>IF(G4="Si","Gris","Pendiente de nivel (ver columna H)")</f>
        <v/>
      </c>
    </row>
    <row r="5">
      <c r="A5" t="inlineStr">
        <is>
          <t>Irresponsabilidad</t>
        </is>
      </c>
      <c r="B5" t="inlineStr">
        <is>
          <t>Base</t>
        </is>
      </c>
      <c r="C5">
        <f>AVERAGEIF(Reactivos!$B$2:$B$211,A5,Reactivos!$K$2:$K$211)</f>
        <v/>
      </c>
      <c r="D5">
        <f>INDEX(Pesos_Dimensiones!$C$2:$C$22,MATCH(A5,Pesos_Dimensiones!$A$2:$A$22,0))</f>
        <v/>
      </c>
      <c r="E5">
        <f>IF(OR(B5="Base",B5="Adicional"),C5*D5,0)</f>
        <v/>
      </c>
      <c r="F5">
        <f>(1-C5)*100*0.95</f>
        <v/>
      </c>
      <c r="G5" t="inlineStr">
        <is>
          <t>No</t>
        </is>
      </c>
      <c r="H5" t="inlineStr">
        <is>
          <t>[PENDIENTE DE DATO PILOTO] - asignar nivel 1-6 segun percentil real una vez exista la hoja Niveles_Corte completa</t>
        </is>
      </c>
      <c r="I5">
        <f>IF(G5="Si","Gris","Pendiente de nivel (ver columna H)")</f>
        <v/>
      </c>
    </row>
    <row r="6">
      <c r="A6" t="inlineStr">
        <is>
          <t>Soborno</t>
        </is>
      </c>
      <c r="B6" t="inlineStr">
        <is>
          <t>Base</t>
        </is>
      </c>
      <c r="C6">
        <f>AVERAGEIF(Reactivos!$B$2:$B$211,A6,Reactivos!$K$2:$K$211)</f>
        <v/>
      </c>
      <c r="D6">
        <f>INDEX(Pesos_Dimensiones!$C$2:$C$22,MATCH(A6,Pesos_Dimensiones!$A$2:$A$22,0))</f>
        <v/>
      </c>
      <c r="E6">
        <f>IF(OR(B6="Base",B6="Adicional"),C6*D6,0)</f>
        <v/>
      </c>
      <c r="F6">
        <f>(1-C6)*100*0.95</f>
        <v/>
      </c>
      <c r="G6" t="inlineStr">
        <is>
          <t>No</t>
        </is>
      </c>
      <c r="H6" t="inlineStr">
        <is>
          <t>[PENDIENTE DE DATO PILOTO] - asignar nivel 1-6 segun percentil real una vez exista la hoja Niveles_Corte completa</t>
        </is>
      </c>
      <c r="I6">
        <f>IF(G6="Si","Gris","Pendiente de nivel (ver columna H)")</f>
        <v/>
      </c>
    </row>
    <row r="7">
      <c r="A7" t="inlineStr">
        <is>
          <t>Deslealtad</t>
        </is>
      </c>
      <c r="B7" t="inlineStr">
        <is>
          <t>Adicional</t>
        </is>
      </c>
      <c r="C7">
        <f>AVERAGEIF(Reactivos!$B$2:$B$211,A7,Reactivos!$K$2:$K$211)</f>
        <v/>
      </c>
      <c r="D7">
        <f>INDEX(Pesos_Dimensiones!$C$2:$C$22,MATCH(A7,Pesos_Dimensiones!$A$2:$A$22,0))</f>
        <v/>
      </c>
      <c r="E7">
        <f>IF(OR(B7="Base",B7="Adicional"),C7*D7,0)</f>
        <v/>
      </c>
      <c r="F7">
        <f>(1-C7)*100*0.95</f>
        <v/>
      </c>
      <c r="G7" t="inlineStr">
        <is>
          <t>No</t>
        </is>
      </c>
      <c r="H7" t="inlineStr">
        <is>
          <t>[PENDIENTE DE DATO PILOTO] - asignar nivel 1-6 segun percentil real una vez exista la hoja Niveles_Corte completa</t>
        </is>
      </c>
      <c r="I7">
        <f>IF(G7="Si","Gris","Pendiente de nivel (ver columna H)")</f>
        <v/>
      </c>
    </row>
    <row r="8">
      <c r="A8" t="inlineStr">
        <is>
          <t>Favoritismo</t>
        </is>
      </c>
      <c r="B8" t="inlineStr">
        <is>
          <t>Adicional</t>
        </is>
      </c>
      <c r="C8">
        <f>AVERAGEIF(Reactivos!$B$2:$B$211,A8,Reactivos!$K$2:$K$211)</f>
        <v/>
      </c>
      <c r="D8">
        <f>INDEX(Pesos_Dimensiones!$C$2:$C$22,MATCH(A8,Pesos_Dimensiones!$A$2:$A$22,0))</f>
        <v/>
      </c>
      <c r="E8">
        <f>IF(OR(B8="Base",B8="Adicional"),C8*D8,0)</f>
        <v/>
      </c>
      <c r="F8">
        <f>(1-C8)*100*0.95</f>
        <v/>
      </c>
      <c r="G8" t="inlineStr">
        <is>
          <t>No</t>
        </is>
      </c>
      <c r="H8" t="inlineStr">
        <is>
          <t>[PENDIENTE DE DATO PILOTO] - asignar nivel 1-6 segun percentil real una vez exista la hoja Niveles_Corte completa</t>
        </is>
      </c>
      <c r="I8">
        <f>IF(G8="Si","Gris","Pendiente de nivel (ver columna H)")</f>
        <v/>
      </c>
    </row>
    <row r="9">
      <c r="A9" t="inlineStr">
        <is>
          <t>Abuso de Recursos</t>
        </is>
      </c>
      <c r="B9" t="inlineStr">
        <is>
          <t>Adicional</t>
        </is>
      </c>
      <c r="C9">
        <f>AVERAGEIF(Reactivos!$B$2:$B$211,A9,Reactivos!$K$2:$K$211)</f>
        <v/>
      </c>
      <c r="D9">
        <f>INDEX(Pesos_Dimensiones!$C$2:$C$22,MATCH(A9,Pesos_Dimensiones!$A$2:$A$22,0))</f>
        <v/>
      </c>
      <c r="E9">
        <f>IF(OR(B9="Base",B9="Adicional"),C9*D9,0)</f>
        <v/>
      </c>
      <c r="F9">
        <f>(1-C9)*100*0.95</f>
        <v/>
      </c>
      <c r="G9" t="inlineStr">
        <is>
          <t>No</t>
        </is>
      </c>
      <c r="H9" t="inlineStr">
        <is>
          <t>[PENDIENTE DE DATO PILOTO] - asignar nivel 1-6 segun percentil real una vez exista la hoja Niveles_Corte completa</t>
        </is>
      </c>
      <c r="I9">
        <f>IF(G9="Si","Gris","Pendiente de nivel (ver columna H)")</f>
        <v/>
      </c>
    </row>
    <row r="10">
      <c r="A10" t="inlineStr">
        <is>
          <t>Acoso Sexual</t>
        </is>
      </c>
      <c r="B10" t="inlineStr">
        <is>
          <t>Adicional</t>
        </is>
      </c>
      <c r="C10">
        <f>AVERAGEIF(Reactivos!$B$2:$B$211,A10,Reactivos!$K$2:$K$211)</f>
        <v/>
      </c>
      <c r="D10">
        <f>INDEX(Pesos_Dimensiones!$C$2:$C$22,MATCH(A10,Pesos_Dimensiones!$A$2:$A$22,0))</f>
        <v/>
      </c>
      <c r="E10">
        <f>IF(OR(B10="Base",B10="Adicional"),C10*D10,0)</f>
        <v/>
      </c>
      <c r="F10">
        <f>(1-C10)*100*0.95</f>
        <v/>
      </c>
      <c r="G10" t="inlineStr">
        <is>
          <t>No</t>
        </is>
      </c>
      <c r="H10" t="inlineStr">
        <is>
          <t>[PENDIENTE DE DATO PILOTO] - asignar nivel 1-6 segun percentil real una vez exista la hoja Niveles_Corte completa</t>
        </is>
      </c>
      <c r="I10">
        <f>IF(G10="Si","Gris","Pendiente de nivel (ver columna H)")</f>
        <v/>
      </c>
    </row>
    <row r="11">
      <c r="A11" t="inlineStr">
        <is>
          <t>Maltrato Laboral</t>
        </is>
      </c>
      <c r="B11" t="inlineStr">
        <is>
          <t>Adicional</t>
        </is>
      </c>
      <c r="C11">
        <f>AVERAGEIF(Reactivos!$B$2:$B$211,A11,Reactivos!$K$2:$K$211)</f>
        <v/>
      </c>
      <c r="D11">
        <f>INDEX(Pesos_Dimensiones!$C$2:$C$22,MATCH(A11,Pesos_Dimensiones!$A$2:$A$22,0))</f>
        <v/>
      </c>
      <c r="E11">
        <f>IF(OR(B11="Base",B11="Adicional"),C11*D11,0)</f>
        <v/>
      </c>
      <c r="F11">
        <f>(1-C11)*100*0.95</f>
        <v/>
      </c>
      <c r="G11" t="inlineStr">
        <is>
          <t>No</t>
        </is>
      </c>
      <c r="H11" t="inlineStr">
        <is>
          <t>[PENDIENTE DE DATO PILOTO] - asignar nivel 1-6 segun percentil real una vez exista la hoja Niveles_Corte completa</t>
        </is>
      </c>
      <c r="I11">
        <f>IF(G11="Si","Gris","Pendiente de nivel (ver columna H)")</f>
        <v/>
      </c>
    </row>
    <row r="12">
      <c r="A12" t="inlineStr">
        <is>
          <t>Discriminación</t>
        </is>
      </c>
      <c r="B12" t="inlineStr">
        <is>
          <t>Adicional</t>
        </is>
      </c>
      <c r="C12">
        <f>AVERAGEIF(Reactivos!$B$2:$B$211,A12,Reactivos!$K$2:$K$211)</f>
        <v/>
      </c>
      <c r="D12">
        <f>INDEX(Pesos_Dimensiones!$C$2:$C$22,MATCH(A12,Pesos_Dimensiones!$A$2:$A$22,0))</f>
        <v/>
      </c>
      <c r="E12">
        <f>IF(OR(B12="Base",B12="Adicional"),C12*D12,0)</f>
        <v/>
      </c>
      <c r="F12">
        <f>(1-C12)*100*0.95</f>
        <v/>
      </c>
      <c r="G12" t="inlineStr">
        <is>
          <t>No</t>
        </is>
      </c>
      <c r="H12" t="inlineStr">
        <is>
          <t>[PENDIENTE DE DATO PILOTO] - asignar nivel 1-6 segun percentil real una vez exista la hoja Niveles_Corte completa</t>
        </is>
      </c>
      <c r="I12">
        <f>IF(G12="Si","Gris","Pendiente de nivel (ver columna H)")</f>
        <v/>
      </c>
    </row>
    <row r="13">
      <c r="A13" t="inlineStr">
        <is>
          <t>Asociación Criminal</t>
        </is>
      </c>
      <c r="B13" t="inlineStr">
        <is>
          <t>Adicional</t>
        </is>
      </c>
      <c r="C13">
        <f>AVERAGEIF(Reactivos!$B$2:$B$211,A13,Reactivos!$K$2:$K$211)</f>
        <v/>
      </c>
      <c r="D13">
        <f>INDEX(Pesos_Dimensiones!$C$2:$C$22,MATCH(A13,Pesos_Dimensiones!$A$2:$A$22,0))</f>
        <v/>
      </c>
      <c r="E13">
        <f>IF(OR(B13="Base",B13="Adicional"),C13*D13,0)</f>
        <v/>
      </c>
      <c r="F13">
        <f>(1-C13)*100*0.95</f>
        <v/>
      </c>
      <c r="G13" t="inlineStr">
        <is>
          <t>No</t>
        </is>
      </c>
      <c r="H13" t="inlineStr">
        <is>
          <t>[PENDIENTE DE DATO PILOTO] - asignar nivel 1-6 segun percentil real una vez exista la hoja Niveles_Corte completa</t>
        </is>
      </c>
      <c r="I13">
        <f>IF(G13="Si","Gris","Pendiente de nivel (ver columna H)")</f>
        <v/>
      </c>
    </row>
    <row r="14">
      <c r="A14" t="inlineStr">
        <is>
          <t>Sustancias Lícitas</t>
        </is>
      </c>
      <c r="B14" t="inlineStr">
        <is>
          <t>Contextual</t>
        </is>
      </c>
      <c r="C14">
        <f>AVERAGEIF(Reactivos!$B$2:$B$211,A14,Reactivos!$K$2:$K$211)</f>
        <v/>
      </c>
      <c r="D14">
        <f>INDEX(Pesos_Dimensiones!$C$2:$C$22,MATCH(A14,Pesos_Dimensiones!$A$2:$A$22,0))</f>
        <v/>
      </c>
      <c r="E14">
        <f>IF(OR(B14="Base",B14="Adicional"),C14*D14,0)</f>
        <v/>
      </c>
      <c r="F14">
        <f>(1-C14)*100*0.95</f>
        <v/>
      </c>
      <c r="G14" t="inlineStr">
        <is>
          <t>No</t>
        </is>
      </c>
      <c r="H14" t="inlineStr">
        <is>
          <t>[PENDIENTE DE DATO PILOTO] - asignar nivel 1-6 segun percentil real una vez exista la hoja Niveles_Corte completa</t>
        </is>
      </c>
      <c r="I14">
        <f>IF(G14="Si","Gris","Pendiente de nivel (ver columna H)")</f>
        <v/>
      </c>
    </row>
    <row r="15">
      <c r="A15" t="inlineStr">
        <is>
          <t>Sustancias Ilícitas</t>
        </is>
      </c>
      <c r="B15" t="inlineStr">
        <is>
          <t>Contextual</t>
        </is>
      </c>
      <c r="C15">
        <f>AVERAGEIF(Reactivos!$B$2:$B$211,A15,Reactivos!$K$2:$K$211)</f>
        <v/>
      </c>
      <c r="D15">
        <f>INDEX(Pesos_Dimensiones!$C$2:$C$22,MATCH(A15,Pesos_Dimensiones!$A$2:$A$22,0))</f>
        <v/>
      </c>
      <c r="E15">
        <f>IF(OR(B15="Base",B15="Adicional"),C15*D15,0)</f>
        <v/>
      </c>
      <c r="F15">
        <f>(1-C15)*100*0.95</f>
        <v/>
      </c>
      <c r="G15" t="inlineStr">
        <is>
          <t>No</t>
        </is>
      </c>
      <c r="H15" t="inlineStr">
        <is>
          <t>[PENDIENTE DE DATO PILOTO] - asignar nivel 1-6 segun percentil real una vez exista la hoja Niveles_Corte completa</t>
        </is>
      </c>
      <c r="I15">
        <f>IF(G15="Si","Gris","Pendiente de nivel (ver columna H)")</f>
        <v/>
      </c>
    </row>
    <row r="16">
      <c r="A16" t="inlineStr">
        <is>
          <t>Incumplimiento de Normas</t>
        </is>
      </c>
      <c r="B16" t="inlineStr">
        <is>
          <t>Contextual</t>
        </is>
      </c>
      <c r="C16">
        <f>AVERAGEIF(Reactivos!$B$2:$B$211,A16,Reactivos!$K$2:$K$211)</f>
        <v/>
      </c>
      <c r="D16">
        <f>INDEX(Pesos_Dimensiones!$C$2:$C$22,MATCH(A16,Pesos_Dimensiones!$A$2:$A$22,0))</f>
        <v/>
      </c>
      <c r="E16">
        <f>IF(OR(B16="Base",B16="Adicional"),C16*D16,0)</f>
        <v/>
      </c>
      <c r="F16">
        <f>(1-C16)*100*0.95</f>
        <v/>
      </c>
      <c r="G16" t="inlineStr">
        <is>
          <t>No</t>
        </is>
      </c>
      <c r="H16" t="inlineStr">
        <is>
          <t>[PENDIENTE DE DATO PILOTO] - asignar nivel 1-6 segun percentil real una vez exista la hoja Niveles_Corte completa</t>
        </is>
      </c>
      <c r="I16">
        <f>IF(G16="Si","Gris","Pendiente de nivel (ver columna H)")</f>
        <v/>
      </c>
    </row>
    <row r="17">
      <c r="A17" t="inlineStr">
        <is>
          <t>Deudas</t>
        </is>
      </c>
      <c r="B17" t="inlineStr">
        <is>
          <t>Contextual</t>
        </is>
      </c>
      <c r="C17">
        <f>AVERAGEIF(Reactivos!$B$2:$B$211,A17,Reactivos!$K$2:$K$211)</f>
        <v/>
      </c>
      <c r="D17">
        <f>INDEX(Pesos_Dimensiones!$C$2:$C$22,MATCH(A17,Pesos_Dimensiones!$A$2:$A$22,0))</f>
        <v/>
      </c>
      <c r="E17">
        <f>IF(OR(B17="Base",B17="Adicional"),C17*D17,0)</f>
        <v/>
      </c>
      <c r="F17">
        <f>(1-C17)*100*0.95</f>
        <v/>
      </c>
      <c r="G17" t="inlineStr">
        <is>
          <t>No</t>
        </is>
      </c>
      <c r="H17" t="inlineStr">
        <is>
          <t>[PENDIENTE DE DATO PILOTO] - asignar nivel 1-6 segun percentil real una vez exista la hoja Niveles_Corte completa</t>
        </is>
      </c>
      <c r="I17">
        <f>IF(G17="Si","Gris","Pendiente de nivel (ver columna H)")</f>
        <v/>
      </c>
    </row>
    <row r="18">
      <c r="A18" t="inlineStr">
        <is>
          <t>Impulsividad</t>
        </is>
      </c>
      <c r="B18" t="inlineStr">
        <is>
          <t>Contextual</t>
        </is>
      </c>
      <c r="C18">
        <f>AVERAGEIF(Reactivos!$B$2:$B$211,A18,Reactivos!$K$2:$K$211)</f>
        <v/>
      </c>
      <c r="D18">
        <f>INDEX(Pesos_Dimensiones!$C$2:$C$22,MATCH(A18,Pesos_Dimensiones!$A$2:$A$22,0))</f>
        <v/>
      </c>
      <c r="E18">
        <f>IF(OR(B18="Base",B18="Adicional"),C18*D18,0)</f>
        <v/>
      </c>
      <c r="F18">
        <f>(1-C18)*100*0.95</f>
        <v/>
      </c>
      <c r="G18" t="inlineStr">
        <is>
          <t>No</t>
        </is>
      </c>
      <c r="H18" t="inlineStr">
        <is>
          <t>[PENDIENTE DE DATO PILOTO] - asignar nivel 1-6 segun percentil real una vez exista la hoja Niveles_Corte completa</t>
        </is>
      </c>
      <c r="I18">
        <f>IF(G18="Si","Gris","Pendiente de nivel (ver columna H)")</f>
        <v/>
      </c>
    </row>
    <row r="19">
      <c r="A19" t="inlineStr">
        <is>
          <t>Violencia</t>
        </is>
      </c>
      <c r="B19" t="inlineStr">
        <is>
          <t>Contextual</t>
        </is>
      </c>
      <c r="C19">
        <f>AVERAGEIF(Reactivos!$B$2:$B$211,A19,Reactivos!$K$2:$K$211)</f>
        <v/>
      </c>
      <c r="D19">
        <f>INDEX(Pesos_Dimensiones!$C$2:$C$22,MATCH(A19,Pesos_Dimensiones!$A$2:$A$22,0))</f>
        <v/>
      </c>
      <c r="E19">
        <f>IF(OR(B19="Base",B19="Adicional"),C19*D19,0)</f>
        <v/>
      </c>
      <c r="F19">
        <f>(1-C19)*100*0.95</f>
        <v/>
      </c>
      <c r="G19" t="inlineStr">
        <is>
          <t>No</t>
        </is>
      </c>
      <c r="H19" t="inlineStr">
        <is>
          <t>[PENDIENTE DE DATO PILOTO] - asignar nivel 1-6 segun percentil real una vez exista la hoja Niveles_Corte completa</t>
        </is>
      </c>
      <c r="I19">
        <f>IF(G19="Si","Gris","Pendiente de nivel (ver columna H)")</f>
        <v/>
      </c>
    </row>
    <row r="20">
      <c r="A20" t="inlineStr">
        <is>
          <t>Ludopatía</t>
        </is>
      </c>
      <c r="B20" t="inlineStr">
        <is>
          <t>Contextual</t>
        </is>
      </c>
      <c r="C20">
        <f>AVERAGEIF(Reactivos!$B$2:$B$211,A20,Reactivos!$K$2:$K$211)</f>
        <v/>
      </c>
      <c r="D20">
        <f>INDEX(Pesos_Dimensiones!$C$2:$C$22,MATCH(A20,Pesos_Dimensiones!$A$2:$A$22,0))</f>
        <v/>
      </c>
      <c r="E20">
        <f>IF(OR(B20="Base",B20="Adicional"),C20*D20,0)</f>
        <v/>
      </c>
      <c r="F20">
        <f>(1-C20)*100*0.95</f>
        <v/>
      </c>
      <c r="G20" t="inlineStr">
        <is>
          <t>No</t>
        </is>
      </c>
      <c r="H20" t="inlineStr">
        <is>
          <t>[PENDIENTE DE DATO PILOTO] - asignar nivel 1-6 segun percentil real una vez exista la hoja Niveles_Corte completa</t>
        </is>
      </c>
      <c r="I20">
        <f>IF(G20="Si","Gris","Pendiente de nivel (ver columna H)")</f>
        <v/>
      </c>
    </row>
    <row r="21">
      <c r="A21" t="inlineStr">
        <is>
          <t>Egoísmo</t>
        </is>
      </c>
      <c r="B21" t="inlineStr">
        <is>
          <t>Contextual</t>
        </is>
      </c>
      <c r="C21">
        <f>AVERAGEIF(Reactivos!$B$2:$B$211,A21,Reactivos!$K$2:$K$211)</f>
        <v/>
      </c>
      <c r="D21">
        <f>INDEX(Pesos_Dimensiones!$C$2:$C$22,MATCH(A21,Pesos_Dimensiones!$A$2:$A$22,0))</f>
        <v/>
      </c>
      <c r="E21">
        <f>IF(OR(B21="Base",B21="Adicional"),C21*D21,0)</f>
        <v/>
      </c>
      <c r="F21">
        <f>(1-C21)*100*0.95</f>
        <v/>
      </c>
      <c r="G21" t="inlineStr">
        <is>
          <t>No</t>
        </is>
      </c>
      <c r="H21" t="inlineStr">
        <is>
          <t>[PENDIENTE DE DATO PILOTO] - asignar nivel 1-6 segun percentil real una vez exista la hoja Niveles_Corte completa</t>
        </is>
      </c>
      <c r="I21">
        <f>IF(G21="Si","Gris","Pendiente de nivel (ver columna H)")</f>
        <v/>
      </c>
    </row>
    <row r="22">
      <c r="A22" t="inlineStr">
        <is>
          <t>Impunidad</t>
        </is>
      </c>
      <c r="B22" t="inlineStr">
        <is>
          <t>Contextual</t>
        </is>
      </c>
      <c r="C22">
        <f>AVERAGEIF(Reactivos!$B$2:$B$211,A22,Reactivos!$K$2:$K$211)</f>
        <v/>
      </c>
      <c r="D22">
        <f>INDEX(Pesos_Dimensiones!$C$2:$C$22,MATCH(A22,Pesos_Dimensiones!$A$2:$A$22,0))</f>
        <v/>
      </c>
      <c r="E22">
        <f>IF(OR(B22="Base",B22="Adicional"),C22*D22,0)</f>
        <v/>
      </c>
      <c r="F22">
        <f>(1-C22)*100*0.95</f>
        <v/>
      </c>
      <c r="G22" t="inlineStr">
        <is>
          <t>No</t>
        </is>
      </c>
      <c r="H22" t="inlineStr">
        <is>
          <t>[PENDIENTE DE DATO PILOTO] - asignar nivel 1-6 segun percentil real una vez exista la hoja Niveles_Corte completa</t>
        </is>
      </c>
      <c r="I22">
        <f>IF(G22="Si","Gris","Pendiente de nivel (ver columna H)")</f>
        <v/>
      </c>
    </row>
    <row r="23">
      <c r="A23" s="3" t="inlineStr">
        <is>
          <t>Puntaje de Riesgo Base - PRB (interno, suma de contribuciones de riesgo ponderadas; NO se reporta a nadie)</t>
        </is>
      </c>
      <c r="E23" s="3">
        <f>SUM(E2:E22)</f>
        <v/>
      </c>
    </row>
    <row r="24">
      <c r="A24" s="4" t="inlineStr">
        <is>
          <t>IGI REPORTADO (unico numero mostrado a la persona/empresa) = (1-PRB)x100x0.95</t>
        </is>
      </c>
      <c r="F24" s="3">
        <f>(1-E23)*100*0.95</f>
        <v/>
      </c>
      <c r="G24" s="3" t="inlineStr">
        <is>
          <t>No</t>
        </is>
      </c>
      <c r="I24" s="3">
        <f>IF(G24="Si","Gris","Pendiente de nivel")</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 customWidth="1" min="1" max="1"/>
    <col width="22" customWidth="1" min="2" max="2"/>
    <col width="22" customWidth="1" min="3" max="3"/>
    <col width="22" customWidth="1" min="4" max="4"/>
    <col width="16" customWidth="1" min="5" max="5"/>
  </cols>
  <sheetData>
    <row r="1">
      <c r="A1" s="1" t="inlineStr">
        <is>
          <t>Nivel</t>
        </is>
      </c>
      <c r="B1" s="1" t="inlineStr">
        <is>
          <t>Etiqueta</t>
        </is>
      </c>
      <c r="C1" s="1" t="inlineStr">
        <is>
          <t>Percentil_min</t>
        </is>
      </c>
      <c r="D1" s="1" t="inlineStr">
        <is>
          <t>Percentil_max</t>
        </is>
      </c>
      <c r="E1" s="1" t="inlineStr">
        <is>
          <t>Color (semaforo)</t>
        </is>
      </c>
    </row>
    <row r="2">
      <c r="A2" t="n">
        <v>1</v>
      </c>
      <c r="B2" t="inlineStr">
        <is>
          <t>Integridad Muy Baja</t>
        </is>
      </c>
      <c r="C2" t="inlineStr">
        <is>
          <t>0.0 [PROVISIONAL]</t>
        </is>
      </c>
      <c r="D2" t="inlineStr">
        <is>
          <t>15.83 [PROVISIONAL]</t>
        </is>
      </c>
      <c r="E2" t="inlineStr">
        <is>
          <t>Rojo</t>
        </is>
      </c>
    </row>
    <row r="3">
      <c r="A3" t="n">
        <v>2</v>
      </c>
      <c r="B3" t="inlineStr">
        <is>
          <t>Integridad Baja</t>
        </is>
      </c>
      <c r="C3" t="inlineStr">
        <is>
          <t>15.83 [PROVISIONAL]</t>
        </is>
      </c>
      <c r="D3" t="inlineStr">
        <is>
          <t>31.67 [PROVISIONAL]</t>
        </is>
      </c>
      <c r="E3" t="inlineStr">
        <is>
          <t>Rojo</t>
        </is>
      </c>
    </row>
    <row r="4">
      <c r="A4" t="n">
        <v>3</v>
      </c>
      <c r="B4" t="inlineStr">
        <is>
          <t>Integridad Moderada-Baja</t>
        </is>
      </c>
      <c r="C4" t="inlineStr">
        <is>
          <t>31.67 [PROVISIONAL]</t>
        </is>
      </c>
      <c r="D4" t="inlineStr">
        <is>
          <t>47.5 [PROVISIONAL]</t>
        </is>
      </c>
      <c r="E4" t="inlineStr">
        <is>
          <t>Amarillo</t>
        </is>
      </c>
    </row>
    <row r="5">
      <c r="A5" t="n">
        <v>4</v>
      </c>
      <c r="B5" t="inlineStr">
        <is>
          <t>Integridad Moderada-Alta</t>
        </is>
      </c>
      <c r="C5" t="inlineStr">
        <is>
          <t>47.5 [PROVISIONAL]</t>
        </is>
      </c>
      <c r="D5" t="inlineStr">
        <is>
          <t>63.33 [PROVISIONAL]</t>
        </is>
      </c>
      <c r="E5" t="inlineStr">
        <is>
          <t>Amarillo</t>
        </is>
      </c>
    </row>
    <row r="6">
      <c r="A6" t="n">
        <v>5</v>
      </c>
      <c r="B6" t="inlineStr">
        <is>
          <t>Integridad Alta</t>
        </is>
      </c>
      <c r="C6" t="inlineStr">
        <is>
          <t>63.33 [PROVISIONAL]</t>
        </is>
      </c>
      <c r="D6" t="inlineStr">
        <is>
          <t>79.17 [PROVISIONAL]</t>
        </is>
      </c>
      <c r="E6" t="inlineStr">
        <is>
          <t>Verde</t>
        </is>
      </c>
    </row>
    <row r="7">
      <c r="A7" t="n">
        <v>6</v>
      </c>
      <c r="B7" t="inlineStr">
        <is>
          <t>Integridad Muy Alta</t>
        </is>
      </c>
      <c r="C7" t="inlineStr">
        <is>
          <t>79.17 [PROVISIONAL]</t>
        </is>
      </c>
      <c r="D7" t="inlineStr">
        <is>
          <t>95.0 [PROVISIONAL]</t>
        </is>
      </c>
      <c r="E7" t="inlineStr">
        <is>
          <t>Verde</t>
        </is>
      </c>
    </row>
    <row r="9" ht="90" customHeight="1">
      <c r="A9" s="5" t="inlineStr">
        <is>
          <t>[2026-09-15] Los valores de las columnas C y D son PROVISIONALES: sextiles matematicos de la escala 0-95 del IGI (95/6 ~= 15.83 puntos por nivel), usados unicamente para tener un prototipo funcional mientras no exista muestra piloto - NO son percentiles reales de una poblacion y NO deben presentarse a ninguna persona ni empresa como una norma valida (DECISIONS.md, 'Reglas de trabajo permanentes': no inventar normas ficticias). En cuanto exista la muestra piloto (Fase 8-9), estos 12 valores se reemplazan por los percentiles reales calculados sobre esa muestra (Baremo General y, mas adelante, por pais - DECISIONS.md punto 39), y la etiqueta '[PROVISIONAL]' desaparece. El IGI es 'mas alto = mejor' (DECISIONS.md punto 19): Nivel 1 = el IGI mas bajo (mayor riesgo), Nivel 6 = el IGI mas alto (mayor integridad). El semaforo (columna E) agrupa Nivel 1-2=Rojo, 3-4=Amarillo, 5-6=Verde (DECISIONS.md punto 22), y es independiente de la invalidacion: un resultado invalidado siempre se muestra en Gris sin importar su nivel (Fase 6 Modelo de Calculo, Seccion 10).</t>
        </is>
      </c>
    </row>
  </sheetData>
  <mergeCells count="1">
    <mergeCell ref="A9:E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78" customWidth="1" min="1" max="1"/>
    <col width="30" customWidth="1" min="2" max="2"/>
  </cols>
  <sheetData>
    <row r="1">
      <c r="A1" s="6" t="inlineStr">
        <is>
          <t>Error estandar de medicion (SEM) e intervalo de confianza del 95% del IGI</t>
        </is>
      </c>
    </row>
    <row r="2">
      <c r="A2" s="1" t="inlineStr">
        <is>
          <t>Concepto</t>
        </is>
      </c>
      <c r="B2" s="1" t="inlineStr">
        <is>
          <t>Valor / formula</t>
        </is>
      </c>
    </row>
    <row r="3">
      <c r="A3" t="inlineStr">
        <is>
          <t>IGI reportado (tomado de Resumen_Dimensiones, celda F24)</t>
        </is>
      </c>
      <c r="B3">
        <f>Resumen_Dimensiones!F24</f>
        <v/>
      </c>
    </row>
    <row r="4">
      <c r="A4" t="inlineStr">
        <is>
          <t>Confiabilidad_IGI (Omega de McDonald sobre las dimensiones Nucleo; Alfa de Cronbach como referencia secundaria - DECISIONS.md punto 30)</t>
        </is>
      </c>
      <c r="B4" t="inlineStr">
        <is>
          <t>[PENDIENTE DE DATO PILOTO]</t>
        </is>
      </c>
    </row>
    <row r="5">
      <c r="A5" t="inlineStr">
        <is>
          <t>DesviacionEstandar_muestra_referencia (de la muestra piloto real, Fase 8-9)</t>
        </is>
      </c>
      <c r="B5" t="inlineStr">
        <is>
          <t>[PENDIENTE DE DATO PILOTO]</t>
        </is>
      </c>
    </row>
    <row r="6">
      <c r="A6" t="inlineStr">
        <is>
          <t>SEM = DesviacionEstandar_muestra_referencia x RAIZ(1 - Confiabilidad_IGI)</t>
        </is>
      </c>
      <c r="B6" t="inlineStr">
        <is>
          <t>[PENDIENTE DE DATO PILOTO]</t>
        </is>
      </c>
    </row>
    <row r="7">
      <c r="A7" t="inlineStr">
        <is>
          <t>IC_95% inferior = IGI_reportado - 1.96 x SEM</t>
        </is>
      </c>
      <c r="B7" t="inlineStr">
        <is>
          <t>[PENDIENTE DE DATO PILOTO]</t>
        </is>
      </c>
    </row>
    <row r="8">
      <c r="A8" t="inlineStr">
        <is>
          <t>IC_95% superior = IGI_reportado + 1.96 x SEM</t>
        </is>
      </c>
      <c r="B8" t="inlineStr">
        <is>
          <t>[PENDIENTE DE DATO PILOTO]</t>
        </is>
      </c>
    </row>
    <row r="11">
      <c r="A11" s="2" t="inlineStr">
        <is>
          <t>Las celdas B5-B8 quedan en [PENDIENTE DE DATO PILOTO] porque Confiabilidad_IGI y DesviacionEstandar_muestra_referencia son datos empiricos que todavia no existen (dependen de la muestra piloto de la Fase 8-9), conforme a la regla ya vigente en DECISIONS.md de no inventar estadisticas reales (ver Fase 6 Modelo de Calculo, Seccion 9). Una vez exista el dato piloto, las celdas B5-B8 deben reemplazarse por formulas reales (B5 = B4*RAIZ(1-B3), B6 = B4-1.96*B5, B7 = B4+1.96*B5) y todo reporte (B2C y B2B) debe mostrar el IGI junto con este intervalo, no solo el numero puntual.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0" customWidth="1" min="1" max="1"/>
    <col width="70" customWidth="1" min="2" max="2"/>
    <col width="28" customWidth="1" min="3" max="3"/>
    <col width="40" customWidth="1" min="4" max="4"/>
  </cols>
  <sheetData>
    <row r="1">
      <c r="A1" s="6" t="inlineStr">
        <is>
          <t>Escala de Deseabilidad Social - 5o indicador de validez del protocolo (NO entra al IGI ni a ninguna dimension)</t>
        </is>
      </c>
    </row>
    <row r="3">
      <c r="A3" s="1" t="inlineStr">
        <is>
          <t>ID</t>
        </is>
      </c>
      <c r="B3" s="1" t="inlineStr">
        <is>
          <t>Pregunta (variante base)</t>
        </is>
      </c>
      <c r="C3" s="1" t="inlineStr">
        <is>
          <t>Respuesta (0-4, editable, ejemplo)</t>
        </is>
      </c>
      <c r="D3" s="1" t="inlineStr">
        <is>
          <t>Endosado (1 si Respuesta&gt;=3, es decir 'De acuerdo' o 'Totalmente de acuerdo')</t>
        </is>
      </c>
    </row>
    <row r="4">
      <c r="A4" t="inlineStr">
        <is>
          <t>DS01</t>
        </is>
      </c>
      <c r="B4" t="inlineStr">
        <is>
          <t>¿Qué tan de acuerdo estás con la siguiente idea: "Nunca he sentido envidia de otra persona, ni siquiera un poco"?</t>
        </is>
      </c>
      <c r="C4" t="n">
        <v>0</v>
      </c>
      <c r="D4">
        <f>IF(C4&gt;=3,1,0)</f>
        <v/>
      </c>
    </row>
    <row r="5">
      <c r="A5" t="inlineStr">
        <is>
          <t>DS02</t>
        </is>
      </c>
      <c r="B5" t="inlineStr">
        <is>
          <t>¿Qué tan de acuerdo estás con la siguiente idea: "Jamás en mi vida he dicho una mentira, ni siquiera una mentira piadosa para no herir a alguien"?</t>
        </is>
      </c>
      <c r="C5" t="n">
        <v>0</v>
      </c>
      <c r="D5">
        <f>IF(C5&gt;=3,1,0)</f>
        <v/>
      </c>
    </row>
    <row r="6">
      <c r="A6" t="inlineStr">
        <is>
          <t>DS03</t>
        </is>
      </c>
      <c r="B6" t="inlineStr">
        <is>
          <t>¿Qué tan de acuerdo estás con la siguiente idea: "Siempre cumplo absolutamente todas mis promesas, sin ninguna excepción, sin importar las circunstancias"?</t>
        </is>
      </c>
      <c r="C6" t="n">
        <v>0</v>
      </c>
      <c r="D6">
        <f>IF(C6&gt;=3,1,0)</f>
        <v/>
      </c>
    </row>
    <row r="7">
      <c r="A7" t="inlineStr">
        <is>
          <t>DS04</t>
        </is>
      </c>
      <c r="B7" t="inlineStr">
        <is>
          <t>¿Qué tan de acuerdo estás con la siguiente idea: "Nunca he tomado, ni una sola vez en mi vida, algo que no fuera mío, así fuera de mínimo valor"?</t>
        </is>
      </c>
      <c r="C7" t="n">
        <v>0</v>
      </c>
      <c r="D7">
        <f>IF(C7&gt;=3,1,0)</f>
        <v/>
      </c>
    </row>
    <row r="8">
      <c r="A8" t="inlineStr">
        <is>
          <t>DS05</t>
        </is>
      </c>
      <c r="B8" t="inlineStr">
        <is>
          <t>¿Qué tan de acuerdo estás con la siguiente idea: "Jamás he sentido rabia o resentimiento hacia otra persona, sin importar lo que esa persona haya hecho"?</t>
        </is>
      </c>
      <c r="C8" t="n">
        <v>0</v>
      </c>
      <c r="D8">
        <f>IF(C8&gt;=3,1,0)</f>
        <v/>
      </c>
    </row>
    <row r="9">
      <c r="A9" t="inlineStr">
        <is>
          <t>DS06</t>
        </is>
      </c>
      <c r="B9" t="inlineStr">
        <is>
          <t>¿Qué tan de acuerdo estás con la siguiente idea: "Nunca he criticado a otra persona a sus espaldas, ni una sola vez en mi vida"?</t>
        </is>
      </c>
      <c r="C9" t="n">
        <v>0</v>
      </c>
      <c r="D9">
        <f>IF(C9&gt;=3,1,0)</f>
        <v/>
      </c>
    </row>
    <row r="10">
      <c r="A10" t="inlineStr">
        <is>
          <t>DS07</t>
        </is>
      </c>
      <c r="B10" t="inlineStr">
        <is>
          <t>¿Qué tan de acuerdo estás con la siguiente idea: "Siempre digo exactamente lo que pienso, sin filtrar nada, en cualquier situación, sin excepción"?</t>
        </is>
      </c>
      <c r="C10" t="n">
        <v>0</v>
      </c>
      <c r="D10">
        <f>IF(C10&gt;=3,1,0)</f>
        <v/>
      </c>
    </row>
    <row r="11">
      <c r="A11" t="inlineStr">
        <is>
          <t>DS08</t>
        </is>
      </c>
      <c r="B11" t="inlineStr">
        <is>
          <t>¿Qué tan de acuerdo estás con la siguiente idea: "Jamás me he aprovechado de una situación, ni una sola vez, aunque nadie se fuera a enterar"?</t>
        </is>
      </c>
      <c r="C11" t="n">
        <v>0</v>
      </c>
      <c r="D11">
        <f>IF(C11&gt;=3,1,0)</f>
        <v/>
      </c>
    </row>
    <row r="12">
      <c r="B12" s="3" t="inlineStr">
        <is>
          <t>Total de reactivos endosados ('De acuerdo'/'Totalmente de acuerdo')</t>
        </is>
      </c>
      <c r="D12" s="3">
        <f>SUM(D4:D11)</f>
        <v/>
      </c>
    </row>
    <row r="13">
      <c r="B13" s="3" t="inlineStr">
        <is>
          <t>Bandera de manejo de impresion (&gt;=6 de 8 =&gt; 'manejo de impresion alto')</t>
        </is>
      </c>
      <c r="D13" s="3">
        <f>IF(D12&gt;=6,"SI - manejo de impresion alto","No")</f>
        <v/>
      </c>
    </row>
    <row r="15">
      <c r="A15" s="5" t="inlineStr">
        <is>
          <t>6 o más de los 8 reactivos endosados en 'De acuerdo' o 'Totalmente de acuerdo' (valor 3 o 4) =&gt; manejo de impresión alto: el IGI se sigue calculando y mostrando con su valor real, en color gris, con advertencia visible (igual que los otros 4 indicadores, punto 23). Nunca se excluye ni se recalcula.</t>
        </is>
      </c>
    </row>
  </sheetData>
  <mergeCells count="1">
    <mergeCell ref="A15:D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0" customWidth="1" min="1" max="1"/>
    <col width="20" customWidth="1" min="2" max="2"/>
    <col width="55" customWidth="1" min="3" max="3"/>
    <col width="22" customWidth="1" min="4" max="4"/>
    <col width="24" customWidth="1" min="5" max="5"/>
    <col width="30" customWidth="1" min="6" max="6"/>
  </cols>
  <sheetData>
    <row r="1">
      <c r="A1" s="6" t="inlineStr">
        <is>
          <t>Reactivos de control de Azarosidad - 1er indicador de validez del protocolo (NO entra al IGI ni a ninguna dimension)</t>
        </is>
      </c>
    </row>
    <row r="3">
      <c r="A3" s="1" t="inlineStr">
        <is>
          <t>ID</t>
        </is>
      </c>
      <c r="B3" s="1" t="inlineStr">
        <is>
          <t>Mecanismo</t>
        </is>
      </c>
      <c r="C3" s="1" t="inlineStr">
        <is>
          <t>Pregunta (variante base)</t>
        </is>
      </c>
      <c r="D3" s="1" t="inlineStr">
        <is>
          <t>Opcion objetivo (unica correcta)</t>
        </is>
      </c>
      <c r="E3" s="1" t="inlineStr">
        <is>
          <t>Respuesta marcada (editable, ejemplo)</t>
        </is>
      </c>
      <c r="F3" s="1" t="inlineStr">
        <is>
          <t>Correcto (1 si coincide con el objetivo)</t>
        </is>
      </c>
    </row>
    <row r="4">
      <c r="A4" t="inlineStr">
        <is>
          <t>CTRL01</t>
        </is>
      </c>
      <c r="B4" t="inlineStr">
        <is>
          <t>instrucción embebida</t>
        </is>
      </c>
      <c r="C4" t="inlineStr">
        <is>
          <t>Este reactivo es un control de atención, no evalúa tu opinión: para continuar, selecciona la opción "De acuerdo" en la escala que aparece a continuación.</t>
        </is>
      </c>
      <c r="D4" t="inlineStr">
        <is>
          <t>De acuerdo</t>
        </is>
      </c>
      <c r="E4" t="inlineStr">
        <is>
          <t>De acuerdo</t>
        </is>
      </c>
      <c r="F4">
        <f>IF(E4=D4,1,0)</f>
        <v/>
      </c>
    </row>
    <row r="5">
      <c r="A5" t="inlineStr">
        <is>
          <t>CTRL02</t>
        </is>
      </c>
      <c r="B5" t="inlineStr">
        <is>
          <t>instrucción embebida</t>
        </is>
      </c>
      <c r="C5" t="inlineStr">
        <is>
          <t>Reactivo de control de atención: selecciona la opción "Rara vez" para confirmar que sigues leyendo cada pregunta con cuidado.</t>
        </is>
      </c>
      <c r="D5" t="inlineStr">
        <is>
          <t>Rara vez</t>
        </is>
      </c>
      <c r="E5" t="inlineStr">
        <is>
          <t>Rara vez</t>
        </is>
      </c>
      <c r="F5">
        <f>IF(E5=D5,1,0)</f>
        <v/>
      </c>
    </row>
    <row r="6">
      <c r="A6" t="inlineStr">
        <is>
          <t>CTRL03</t>
        </is>
      </c>
      <c r="B6" t="inlineStr">
        <is>
          <t>instrucción embebida</t>
        </is>
      </c>
      <c r="C6" t="inlineStr">
        <is>
          <t>Este reactivo no describe una situación real: es un control de calidad de tus respuestas. Selecciona la opción "Poco probable".</t>
        </is>
      </c>
      <c r="D6" t="inlineStr">
        <is>
          <t>Poco probable</t>
        </is>
      </c>
      <c r="E6" t="inlineStr">
        <is>
          <t>Poco probable</t>
        </is>
      </c>
      <c r="F6">
        <f>IF(E6=D6,1,0)</f>
        <v/>
      </c>
    </row>
    <row r="7">
      <c r="A7" t="inlineStr">
        <is>
          <t>CTRL04</t>
        </is>
      </c>
      <c r="B7" t="inlineStr">
        <is>
          <t>instrucción embebida</t>
        </is>
      </c>
      <c r="C7" t="inlineStr">
        <is>
          <t>Control de atención: para continuar, selecciona la opción "Ninguna vez" en la siguiente escala, sin importar tu historial real.</t>
        </is>
      </c>
      <c r="D7" t="inlineStr">
        <is>
          <t>Ninguna vez</t>
        </is>
      </c>
      <c r="E7" t="inlineStr">
        <is>
          <t>Ninguna vez</t>
        </is>
      </c>
      <c r="F7">
        <f>IF(E7=D7,1,0)</f>
        <v/>
      </c>
    </row>
    <row r="8">
      <c r="A8" t="inlineStr">
        <is>
          <t>CTRL05</t>
        </is>
      </c>
      <c r="B8" t="inlineStr">
        <is>
          <t>trivia obvia</t>
        </is>
      </c>
      <c r="C8" t="inlineStr">
        <is>
          <t>¿En qué continente se encuentra Ecuador?</t>
        </is>
      </c>
      <c r="D8" t="inlineStr">
        <is>
          <t>América</t>
        </is>
      </c>
      <c r="E8" t="inlineStr">
        <is>
          <t>América</t>
        </is>
      </c>
      <c r="F8">
        <f>IF(E8=D8,1,0)</f>
        <v/>
      </c>
    </row>
    <row r="9">
      <c r="A9" t="inlineStr">
        <is>
          <t>CTRL06</t>
        </is>
      </c>
      <c r="B9" t="inlineStr">
        <is>
          <t>trivia obvia</t>
        </is>
      </c>
      <c r="C9" t="inlineStr">
        <is>
          <t>¿De qué color es el cielo en un día despejado, sin nubes?</t>
        </is>
      </c>
      <c r="D9" t="inlineStr">
        <is>
          <t>Azul</t>
        </is>
      </c>
      <c r="E9" t="inlineStr">
        <is>
          <t>Azul</t>
        </is>
      </c>
      <c r="F9">
        <f>IF(E9=D9,1,0)</f>
        <v/>
      </c>
    </row>
    <row r="10">
      <c r="B10" s="3" t="inlineStr">
        <is>
          <t>Total de reactivos de control fallados (de los aplicados en esta bateria)</t>
        </is>
      </c>
      <c r="F10" s="3">
        <f>COUNTIF(F4:F9,0)</f>
        <v/>
      </c>
    </row>
    <row r="11">
      <c r="B11" s="3" t="inlineStr">
        <is>
          <t>Bandera de invalidacion por Azarosidad (1 fallo = alerta interna; 2 o mas = invalidacion total del protocolo)</t>
        </is>
      </c>
      <c r="F11" s="3">
        <f>IF(F10&gt;=2,"SI - invalidacion total",IF(F10=1,"Alerta interna (sin invalidar)","No"))</f>
        <v/>
      </c>
    </row>
    <row r="13" ht="60" customHeight="1">
      <c r="A13" s="5" t="inlineStr">
        <is>
          <t>Esta bateria de ejemplo precarga las 6 filas (CTRL01-CTRL06, columna 'Mecanismo' distingue instruccion embebida de trivia obvia); la cantidad real de controles a aplicar depende del tamano de la bateria (2 en B2C de 50 reactivos, 4 en baterias intermedias, 6 en la bateria completa de 210, siempre al menos 1 de cada mecanismo - ver azarosidad_control_data.json y Fase 2 Seccion 5.1bis). Fallar (no marcar la opción objetivo/correcta) 1 de los reactivos de control aplicados genera una alerta interna, sin invalidar el resultado. Fallar 2 o más se marca como invalidación total del protocolo (mismo tratamiento visual que los otros indicadores: el IGI y cada Puntaje_dimensión se siguen calculando y mostrando con su valor real, en color gris, con advertencia visible — Fase 6, Sección 11).</t>
        </is>
      </c>
    </row>
  </sheetData>
  <mergeCells count="1">
    <mergeCell ref="A13:F1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20" customWidth="1" min="1" max="1"/>
  </cols>
  <sheetData>
    <row r="1">
      <c r="A1" s="6" t="inlineStr">
        <is>
          <t>Fase 6 — Matriz de Scoring — Notas y convenciones (Version 4, 21 dimensiones x 10 reactivos)</t>
        </is>
      </c>
    </row>
    <row r="2">
      <c r="A2" t="inlineStr"/>
    </row>
    <row r="3">
      <c r="A3" t="inlineStr">
        <is>
          <t>0. [2026-09-10] Banco vigente: 210 reactivos (21 dimensiones x 10 reactivos c/u, 5 pares espejo por dimension), conforme a DECISIONS.md punto 28 (reemplaza la Version 2 de 75 reactivos y la Version 3 de 123 reactivos, nunca llegadas a implementar por completo). Las hojas 'Reactivos', 'Pesos_Dimensiones' y 'Resumen_Dimensiones' se generan automaticamente desde reactivos_flat.json (210 filas).</t>
        </is>
      </c>
    </row>
    <row r="4">
      <c r="A4" t="inlineStr"/>
    </row>
    <row r="5">
      <c r="A5" t="inlineStr">
        <is>
          <t>1. Esta matriz reemplaza integramente la version v1 (20 dimensiones, 80 reactivos), la v2 (21 dimensiones, 75 reactivos) y la v3 (123 reactivos, nunca cerrada). La formula, la mecanica de columnas y el nombre de las hojas se mantienen; lo que cambia en esta version es el numero de reactivos por dimension (10 en las 21 dimensiones, incluidas las Contextuales, que ahora tambien tienen 5 pares espejo completos), mas el tope del 95%, los niveles de corte/semaforo en orientacion de integridad, y la correccion del tratamiento de invalidacion (ver Fase6_Modelo_Calculo.docx, Secciones 7-10).</t>
        </is>
      </c>
    </row>
    <row r="6">
      <c r="A6" t="inlineStr"/>
    </row>
    <row r="7">
      <c r="A7" t="inlineStr">
        <is>
          <t>2. Hoja 'Reactivos': una fila por cada uno de los 210 reactivos. La columna C (Grupo) se trae automaticamente desde 'Pesos_Dimensiones' segun el nombre de la dimension en la columna B. La columna J (Valor transformado) aplica la regla de direccionalidad (Fase 6, Modelo de Calculo, Paso 1): si el reactivo es Inverso, Valor_max menos la respuesta cruda; si es Directo, la respuesta cruda tal cual. La columna K normaliza ese valor a una escala 0-1 dividiendo entre el Valor_max del reactivo; K siempre queda en orientacion de RIESGO (0 = respuesta de menor riesgo, 1 = respuesta de mayor riesgo), independientemente de la direccion del reactivo.</t>
        </is>
      </c>
    </row>
    <row r="8">
      <c r="A8" t="inlineStr"/>
    </row>
    <row r="9">
      <c r="A9" t="inlineStr">
        <is>
          <t>3. Columna P (Contribucion maxima al indice general): solo los reactivos de dimensiones con Grupo 'Base' o 'Adicional' contribuyen al Puntaje de Riesgo Base (PRB); los reactivos de dimensiones 'Contextual' siempre devuelven 0 en esta columna, conforme a DECISIONS.md (las Factores Contextuales NUNCA entran al IGI, aunque desde la Version 4 si tienen el mismo numero de reactivos y pares espejo que el Nucleo).</t>
        </is>
      </c>
    </row>
    <row r="10">
      <c r="A10" t="inlineStr"/>
    </row>
    <row r="11">
      <c r="A11" t="inlineStr">
        <is>
          <t>4. Hoja 'Pesos_Dimensiones': el peso de cada dimension Base/Adicional es parametrizable en la columna C; esta version de partida asigna peso igual (1/12) a las 12 dimensiones Nucleo (5 Base + 7 Adicionales), bajo el supuesto [HIPOTESIS] de que no hay evidencia empirica aun que justifique ponderar una mas que otra (ver Fase 6, Modelo de Calculo, Seccion 5). Debe recalibrarse con los resultados del analisis factorial de la Fase 9.</t>
        </is>
      </c>
    </row>
    <row r="12">
      <c r="A12" t="inlineStr"/>
    </row>
    <row r="13">
      <c r="A13" t="inlineStr">
        <is>
          <t>5. IMPORTANTE - configuracion por puesto: esta matriz de partida asume que las 12 dimensiones Nucleo (5 Base + 7 Adicionales) estan TODAS seleccionadas para la bateria, por lo que sus 12 pesos suman 1.00. Al configurar una bateria real para un puesto especifico (que casi siempre usara la Base obligatoria + solo ALGUNAS Adicionales, ver DECISIONS.md 'Regla de configuracion por puesto'), se deben: (a) dejar en la hoja 'Reactivos' unicamente las filas de las dimensiones seleccionadas para esa bateria, y (b) re-parametrizar los pesos de la hoja 'Pesos_Dimensiones' para que las dimensiones Nucleo seleccionadas (y solo esas) sumen 1.00 en la columna C.</t>
        </is>
      </c>
    </row>
    <row r="14">
      <c r="A14" t="inlineStr"/>
    </row>
    <row r="15">
      <c r="A15" t="inlineStr">
        <is>
          <t>6. Hoja 'Resumen_Dimensiones': calcula el promedio normalizado (0-1, orientacion de RIESGO) de cada dimension a partir de las respuestas cargadas en 'Reactivos', y consolida el Puntaje de Riesgo Base (PRB, suma de las contribuciones Base+Adicional; valor INTERNO, nunca se muestra a nadie). El IGI reportado, columna F, es su complemento: IGI = (1-PRB)x100x0.95 (DECISIONS.md punto 19). El concepto de 'IIC' que existia en la Version 2/3 queda retirado como indice aparte: el IGI ya es, en si mismo, ese numero orientado a integridad, y es el UNICO numero que se muestra tanto en la capa gratuita B2C como en la de pago B2B (Fase 7 y Fase 10).</t>
        </is>
      </c>
    </row>
    <row r="16">
      <c r="A16" t="inlineStr"/>
    </row>
    <row r="17">
      <c r="A17" t="inlineStr">
        <is>
          <t>7. Los valores de respuesta cruda (columna I de 'Reactivos') vienen precargados en 0 (la respuesta de menor riesgo de cada reactivo); son completamente editables para simular un caso o cargar datos reales de una aplicacion.</t>
        </is>
      </c>
    </row>
    <row r="18">
      <c r="A18" t="inlineStr"/>
    </row>
    <row r="19">
      <c r="A19" t="inlineStr">
        <is>
          <t>8. [DESCONOCIDO] Esta matriz no incorpora todavia los primeros 4 indicadores de validez del protocolo (Azarosidad, Omision, Aquiescencia, Contradiccion, definidos en la Fase 2) como columnas de calculo automatico; se documentan en prosa en Fase6_Modelo_Calculo.docx y se ilustran manualmente en el ejemplo de la Fase 7. Automatizarlos como formulas de esta misma hoja es una mejora sugerida para una iteracion futura del archivo, una vez exista una interfaz real de aplicacion del test.</t>
        </is>
      </c>
    </row>
    <row r="20">
      <c r="A20" t="inlineStr"/>
    </row>
    <row r="21">
      <c r="A21" t="inlineStr">
        <is>
          <t>9. [PENDIENTE] El multiplicador de nivel de exigencia por jerarquia de puesto (DECISIONS.md punto 27, que se aplica sobre el PRB antes de calcular el IGI) todavia no esta parametrizado como formula en esta hoja; su tabla completa de valores vive en CONFIDENCIAL_Formulas_Calculo_IGI.docx. Automatizarlo aqui (con un selector de nivel 1-6 y de 'tiene personal a cargo') queda como mejora pendiente para una proxima iteracion de este archivo.</t>
        </is>
      </c>
    </row>
    <row r="22">
      <c r="A22" t="inlineStr"/>
    </row>
    <row r="23">
      <c r="A23" t="inlineStr">
        <is>
          <t>10. [2026-09-11] Hoja 'SEM_IC' (DECISIONS.md punto 32, Fase 6 Modelo de Calculo Seccion 9): toma el IGI reportado directamente de 'Resumen_Dimensiones' y deja las celdas de Confiabilidad_IGI, DesviacionEstandar_muestra_referencia, SEM e IC_95% en [PENDIENTE DE DATO PILOTO] hasta que exista la muestra real de la Fase 8-9; las formulas ya estan documentadas en la propia hoja para completarlas ese dia sin rediseno.</t>
        </is>
      </c>
    </row>
    <row r="24">
      <c r="A24" t="inlineStr"/>
    </row>
    <row r="25">
      <c r="A25" t="inlineStr">
        <is>
          <t>11. [2026-09-11] Hoja 'Deseabilidad_Social' (5o indicador de validez del protocolo, DECISIONS.md punto 35, Fase 12 Seccion 7): a diferencia de los reactivos de 'Reactivos', esta escala de 8 items NUNCA entra al PRB ni al IGI ni a ninguna Puntaje_dimension - es un indicador de validez independiente. La hoja ya automatiza el conteo de reactivos endosados y la bandera de 'manejo de impresion alto' (&gt;=6 de 8), que se muestra igual que los otros 4 indicadores (IGI en gris con advertencia, nunca excluido ni recalculado - Fase 6 Modelo de Calculo, Seccion 11.3).</t>
        </is>
      </c>
    </row>
    <row r="26">
      <c r="A26" t="inlineStr"/>
    </row>
    <row r="27">
      <c r="A27" t="inlineStr">
        <is>
          <t>12. [2026-09-15] Hoja 'Niveles_Corte': las columnas Percentil_min/Percentil_max ya no estan en blanco - se completaron con sextiles PROVISIONALES de la escala 0-95 (95/6 ~= 15.83 por nivel), marcados explicitamente como '[PROVISIONAL]' en cada celda y en la nota de la fila 9. Esto permite operar un prototipo funcional (asignar un Nivel 1-6 a cualquier IGI calculado) sin esperar a la muestra piloto; en cuanto exista esa muestra (Fase 8-9), estos 12 valores se reemplazan por los percentiles reales y la etiqueta '[PROVISIONAL]' se retira (Fase 6 Modelo de Calculo, Seccion 10.1).</t>
        </is>
      </c>
    </row>
    <row r="28">
      <c r="A28" t="inlineStr"/>
    </row>
    <row r="29">
      <c r="A29" t="inlineStr">
        <is>
          <t>13. [2026-09-15] Hoja 'Azarosidad_Control' (1er indicador de validez del protocolo, Fase 2 Seccion 5.1bis): 6 reactivos de control transversales (CTRL01-CTRL06) de 2 mecanismos distintos (CTRL01-04 instruccion embebida, CTRL05-06 trivia obvia de cultura general), cada uno con una unica opcion objetivo/correcta. Igual que 'Deseabilidad_Social', NUNCA entran al PRB ni al IGI ni a ninguna Puntaje_dimension. La hoja automatiza el conteo de fallos y la bandera de invalidacion (1 fallo = alerta interna; 2 o mas = invalidacion total del protocolo, mismo tratamiento visual que los otros 4 indicadores). La cantidad de controles realmente aplicados en una bateria concreta depende de su tamano (2 en B2C-50, 4 en baterias intermedias, 6 en la bateria completa de 210, siempre al menos 1 de cada mecanismo - ver azarosidad_control_data.json).</t>
        </is>
      </c>
    </row>
    <row r="30">
      <c r="A30" t="inlineStr">
        <is>
          <t>14. [2026-09-15] Reactivos alternativos de opciones concretas (op1_alt/op2_alt/perc1_alt x 21 dimensiones, reactivos_alternativos_data.json) y bloque de bio-data (6 reactivos, biodata_data.json) documentados en Fase 2 Seccion 9; ninguno de los dos cambia esta matriz de scoring (los alternativos preservan el mismo indicador/direccion/par espejo que el reactivo clasico al que reemplazan opcionalmente, y la bio-data es puramente informativa, sin puntaje).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2026-09-15T21:57:24Z</dcterms:created>
  <dcterms:modified xmlns:dcterms="http://purl.org/dc/terms/" xmlns:xsi="http://www.w3.org/2001/XMLSchema-instance" xsi:type="dcterms:W3CDTF">2026-09-15T21:57:24Z</dcterms:modified>
</cp:coreProperties>
</file>