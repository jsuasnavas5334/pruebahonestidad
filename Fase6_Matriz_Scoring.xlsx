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ctivos" sheetId="1" state="visible" r:id="rId3"/>
    <sheet name="Pesos_Dimensiones" sheetId="2" state="visible" r:id="rId4"/>
    <sheet name="Resumen_Dimensiones" sheetId="3" state="visible" r:id="rId5"/>
    <sheet name="Not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<sst xmlns="http://schemas.openxmlformats.org/spreadsheetml/2006/main" count="683" uniqueCount="237">
  <si>
    <t xml:space="preserve">ID</t>
  </si>
  <si>
    <t xml:space="preserve">Dimension</t>
  </si>
  <si>
    <t xml:space="preserve">Familia</t>
  </si>
  <si>
    <t xml:space="preserve">Subdimension</t>
  </si>
  <si>
    <t xml:space="preserve">Tipo de reactivo</t>
  </si>
  <si>
    <t xml:space="preserve">Valor min crudo</t>
  </si>
  <si>
    <t xml:space="preserve">Valor max crudo</t>
  </si>
  <si>
    <t xml:space="preserve">Direccion</t>
  </si>
  <si>
    <t xml:space="preserve">Respuesta cruda (ejemplo, editable)</t>
  </si>
  <si>
    <t xml:space="preserve">Valor transformado</t>
  </si>
  <si>
    <t xml:space="preserve">Valor normalizado (0-1)</t>
  </si>
  <si>
    <t xml:space="preserve">Par espejo relacionado</t>
  </si>
  <si>
    <t xml:space="preserve">Aplica regla de inconsistencia</t>
  </si>
  <si>
    <t xml:space="preserve">Peso de la dimension (parametrizable)</t>
  </si>
  <si>
    <t xml:space="preserve">Peso del reactivo en su dimension</t>
  </si>
  <si>
    <t xml:space="preserve">Contribucion maxima al indice general</t>
  </si>
  <si>
    <t xml:space="preserve">Contribucion actual (con respuesta de ejemplo)</t>
  </si>
  <si>
    <t xml:space="preserve">R001</t>
  </si>
  <si>
    <t xml:space="preserve">1. Respeto a la Propiedad Ajena</t>
  </si>
  <si>
    <t xml:space="preserve">Justificacion sustraccion bajo valor</t>
  </si>
  <si>
    <t xml:space="preserve">1-Opinion</t>
  </si>
  <si>
    <t xml:space="preserve">Directo</t>
  </si>
  <si>
    <t xml:space="preserve">R002</t>
  </si>
  <si>
    <t xml:space="preserve">Si</t>
  </si>
  <si>
    <t xml:space="preserve">Involucramiento pasado apropiacion</t>
  </si>
  <si>
    <t xml:space="preserve">3-Involucramiento pasado</t>
  </si>
  <si>
    <t xml:space="preserve">R003</t>
  </si>
  <si>
    <t xml:space="preserve">Percepcion frecuencia sustraccion terceros</t>
  </si>
  <si>
    <t xml:space="preserve">2-Percepcion terceros</t>
  </si>
  <si>
    <t xml:space="preserve">-</t>
  </si>
  <si>
    <t xml:space="preserve">No</t>
  </si>
  <si>
    <t xml:space="preserve">R004</t>
  </si>
  <si>
    <t xml:space="preserve">Disposicion a devolver bien ajeno</t>
  </si>
  <si>
    <t xml:space="preserve">4-Escenario</t>
  </si>
  <si>
    <t xml:space="preserve">Inverso</t>
  </si>
  <si>
    <t xml:space="preserve">R005</t>
  </si>
  <si>
    <t xml:space="preserve">2. Integridad Transaccional</t>
  </si>
  <si>
    <t xml:space="preserve">Aceptacion regalo proveedor</t>
  </si>
  <si>
    <t xml:space="preserve">R006</t>
  </si>
  <si>
    <t xml:space="preserve">Facilitar tramite irregular</t>
  </si>
  <si>
    <t xml:space="preserve">6-Intencion futura</t>
  </si>
  <si>
    <t xml:space="preserve">R007</t>
  </si>
  <si>
    <t xml:space="preserve">Racionalizacion soborno mercado</t>
  </si>
  <si>
    <t xml:space="preserve">R008</t>
  </si>
  <si>
    <t xml:space="preserve">Percepcion frecuencia favores indebidos</t>
  </si>
  <si>
    <t xml:space="preserve">R009</t>
  </si>
  <si>
    <t xml:space="preserve">3. Coherencia Declarativa</t>
  </si>
  <si>
    <t xml:space="preserve">Valor declarado no omitir informacion</t>
  </si>
  <si>
    <t xml:space="preserve">R010</t>
  </si>
  <si>
    <t xml:space="preserve">Frecuencia omision informacion relevante</t>
  </si>
  <si>
    <t xml:space="preserve">R011</t>
  </si>
  <si>
    <t xml:space="preserve">Disposicion a admitir error propio</t>
  </si>
  <si>
    <t xml:space="preserve">R012</t>
  </si>
  <si>
    <t xml:space="preserve">Reaccion ante confrontacion inconsistencia</t>
  </si>
  <si>
    <t xml:space="preserve">5-Comparacion gravedad</t>
  </si>
  <si>
    <t xml:space="preserve">R013</t>
  </si>
  <si>
    <t xml:space="preserve">4. Compromiso Etico Organizacional</t>
  </si>
  <si>
    <t xml:space="preserve">Lealtad institucional externa declarada</t>
  </si>
  <si>
    <t xml:space="preserve">R014</t>
  </si>
  <si>
    <t xml:space="preserve">Intencion de dano activo por agravio</t>
  </si>
  <si>
    <t xml:space="preserve">R015</t>
  </si>
  <si>
    <t xml:space="preserve">Permanencia condicionada por oportunidad de dano</t>
  </si>
  <si>
    <t xml:space="preserve">R016</t>
  </si>
  <si>
    <t xml:space="preserve">Disposicion a defender a la organizacion</t>
  </si>
  <si>
    <t xml:space="preserve">R017</t>
  </si>
  <si>
    <t xml:space="preserve">5. Respeto a la Autonomia Sexual Laboral</t>
  </si>
  <si>
    <t xml:space="preserve">Actitud uso de autoridad fines romanticos</t>
  </si>
  <si>
    <t xml:space="preserve">R018</t>
  </si>
  <si>
    <t xml:space="preserve">Minimizacion gravedad insinuacion no solicitada</t>
  </si>
  <si>
    <t xml:space="preserve">R019</t>
  </si>
  <si>
    <t xml:space="preserve">Reconocimiento ausencia de rechazo no es consentimiento</t>
  </si>
  <si>
    <t xml:space="preserve">R020</t>
  </si>
  <si>
    <t xml:space="preserve">Disposicion a intervenir o reportar</t>
  </si>
  <si>
    <t xml:space="preserve">R021</t>
  </si>
  <si>
    <t xml:space="preserve">6. Uso Etico del Poder Interpersonal</t>
  </si>
  <si>
    <t xml:space="preserve">Historial presion sostenida ejercida</t>
  </si>
  <si>
    <t xml:space="preserve">R022</t>
  </si>
  <si>
    <t xml:space="preserve">Discriminacion gravedad formas de presion</t>
  </si>
  <si>
    <t xml:space="preserve">R023</t>
  </si>
  <si>
    <t xml:space="preserve">Percepcion frecuencia abuso de autoridad</t>
  </si>
  <si>
    <t xml:space="preserve">R024</t>
  </si>
  <si>
    <t xml:space="preserve">Aceptacion uso informacion privada como presion</t>
  </si>
  <si>
    <t xml:space="preserve">R025</t>
  </si>
  <si>
    <t xml:space="preserve">7. Equidad de Trato Interpersonal</t>
  </si>
  <si>
    <t xml:space="preserve">Actitud criterios no laborales en decisiones</t>
  </si>
  <si>
    <t xml:space="preserve">R026</t>
  </si>
  <si>
    <t xml:space="preserve">Aplicacion concreta criterio no laboral</t>
  </si>
  <si>
    <t xml:space="preserve">R027</t>
  </si>
  <si>
    <t xml:space="preserve">Uso de estereotipos sobre capacidad laboral</t>
  </si>
  <si>
    <t xml:space="preserve">R028</t>
  </si>
  <si>
    <t xml:space="preserve">Exposicion a trato desigual injustificado</t>
  </si>
  <si>
    <t xml:space="preserve">R029</t>
  </si>
  <si>
    <t xml:space="preserve">8. Responsabilizacion por Resultados</t>
  </si>
  <si>
    <t xml:space="preserve">Atribucion externa sistematica ante errores</t>
  </si>
  <si>
    <t xml:space="preserve">R030</t>
  </si>
  <si>
    <t xml:space="preserve">Intencion de comunicar proactivamente un error</t>
  </si>
  <si>
    <t xml:space="preserve">R031</t>
  </si>
  <si>
    <t xml:space="preserve">Evasion de responsabilidad hacia terceros</t>
  </si>
  <si>
    <t xml:space="preserve">R032</t>
  </si>
  <si>
    <t xml:space="preserve">Percepcion frecuencia de cubrirse ante error</t>
  </si>
  <si>
    <t xml:space="preserve">R033</t>
  </si>
  <si>
    <t xml:space="preserve">9. Integridad Documental e Informativa</t>
  </si>
  <si>
    <t xml:space="preserve">Disposicion a ajustar reporte desfavorable</t>
  </si>
  <si>
    <t xml:space="preserve">R034</t>
  </si>
  <si>
    <t xml:space="preserve">Historial alteracion u omision documental</t>
  </si>
  <si>
    <t xml:space="preserve">R035</t>
  </si>
  <si>
    <t xml:space="preserve">Percepcion frecuencia de maquillar reportes</t>
  </si>
  <si>
    <t xml:space="preserve">R036</t>
  </si>
  <si>
    <t xml:space="preserve">Disposicion a avalar documento inexacto</t>
  </si>
  <si>
    <t xml:space="preserve">R037</t>
  </si>
  <si>
    <t xml:space="preserve">10. Distanciamiento de Redes de Ilegalidad</t>
  </si>
  <si>
    <t xml:space="preserve">Minimizacion actitudinal de asociarse por conveniencia</t>
  </si>
  <si>
    <t xml:space="preserve">R038</t>
  </si>
  <si>
    <t xml:space="preserve">Disposicion a mantener relacion conveniente ilegal</t>
  </si>
  <si>
    <t xml:space="preserve">R039</t>
  </si>
  <si>
    <t xml:space="preserve">Admiracion hacia figuras de actividad ilicita</t>
  </si>
  <si>
    <t xml:space="preserve">R040</t>
  </si>
  <si>
    <t xml:space="preserve">Percepcion propia del riesgo de vincularse</t>
  </si>
  <si>
    <t xml:space="preserve">1-Opinion (riesgo)</t>
  </si>
  <si>
    <t xml:space="preserve">R041</t>
  </si>
  <si>
    <t xml:space="preserve">11. Autorregulacion ante Sustancias</t>
  </si>
  <si>
    <t xml:space="preserve">Frecuencia de consumo con potencial impacto laboral</t>
  </si>
  <si>
    <t xml:space="preserve">R042</t>
  </si>
  <si>
    <t xml:space="preserve">Justificacion del consumo previo al horario laboral</t>
  </si>
  <si>
    <t xml:space="preserve">R043</t>
  </si>
  <si>
    <t xml:space="preserve">Percepcion propia de control sobre el consumo</t>
  </si>
  <si>
    <t xml:space="preserve">1-Opinion (control)</t>
  </si>
  <si>
    <t xml:space="preserve">R044</t>
  </si>
  <si>
    <t xml:space="preserve">Consecuencias laborales previas asociadas al consumo</t>
  </si>
  <si>
    <t xml:space="preserve">R045</t>
  </si>
  <si>
    <t xml:space="preserve">12. Apego a la Norma Social</t>
  </si>
  <si>
    <t xml:space="preserve">Justificacion de transgredir norma sin vigilancia</t>
  </si>
  <si>
    <t xml:space="preserve">R046</t>
  </si>
  <si>
    <t xml:space="preserve">Legitimidad percibida de las normas sociales</t>
  </si>
  <si>
    <t xml:space="preserve">R047</t>
  </si>
  <si>
    <t xml:space="preserve">Historial de infracciones menores</t>
  </si>
  <si>
    <t xml:space="preserve">R048</t>
  </si>
  <si>
    <t xml:space="preserve">Disposicion a respetar norma percibida como injusta</t>
  </si>
  <si>
    <t xml:space="preserve">R049</t>
  </si>
  <si>
    <t xml:space="preserve">13. Gestion Responsable de Recursos Propios</t>
  </si>
  <si>
    <t xml:space="preserve">Nivel de endeudamiento actual</t>
  </si>
  <si>
    <t xml:space="preserve">3-Involucramiento pasado (estado)</t>
  </si>
  <si>
    <t xml:space="preserve">R050</t>
  </si>
  <si>
    <t xml:space="preserve">Percepcion propia de control sobre el gasto</t>
  </si>
  <si>
    <t xml:space="preserve">R051</t>
  </si>
  <si>
    <t xml:space="preserve">Justificacion del endeudamiento no acorde a ingresos</t>
  </si>
  <si>
    <t xml:space="preserve">R052</t>
  </si>
  <si>
    <t xml:space="preserve">Presion financiera actual percibida</t>
  </si>
  <si>
    <t xml:space="preserve">R053</t>
  </si>
  <si>
    <t xml:space="preserve">14. Regulacion de la Impulsividad</t>
  </si>
  <si>
    <t xml:space="preserve">Decisiones impulsivas reconocidas como poco razonadas</t>
  </si>
  <si>
    <t xml:space="preserve">R054</t>
  </si>
  <si>
    <t xml:space="preserve">Preferencia recompensa inmediata sobre mayor futura</t>
  </si>
  <si>
    <t xml:space="preserve">R055</t>
  </si>
  <si>
    <t xml:space="preserve">Autorregulacion percibida bajo presion</t>
  </si>
  <si>
    <t xml:space="preserve">1-Opinion (autorregulacion)</t>
  </si>
  <si>
    <t xml:space="preserve">R056</t>
  </si>
  <si>
    <t xml:space="preserve">Historial de riesgo asumido sin evaluacion</t>
  </si>
  <si>
    <t xml:space="preserve">R057</t>
  </si>
  <si>
    <t xml:space="preserve">15. Manejo No Violento del Conflicto</t>
  </si>
  <si>
    <t xml:space="preserve">Justificacion respuesta agresiva ante provocacion</t>
  </si>
  <si>
    <t xml:space="preserve">R058</t>
  </si>
  <si>
    <t xml:space="preserve">Historial conflictos resueltos mediante agresion</t>
  </si>
  <si>
    <t xml:space="preserve">R059</t>
  </si>
  <si>
    <t xml:space="preserve">Agresividad percibida como caracter fuerte</t>
  </si>
  <si>
    <t xml:space="preserve">R060</t>
  </si>
  <si>
    <t xml:space="preserve">Disposicion a buscar mediacion antes de confrontar</t>
  </si>
  <si>
    <t xml:space="preserve">R061</t>
  </si>
  <si>
    <t xml:space="preserve">16. Control de la Conducta de Riesgo Recreativo</t>
  </si>
  <si>
    <t xml:space="preserve">Frecuencia participacion en juegos de azar</t>
  </si>
  <si>
    <t xml:space="preserve">R062</t>
  </si>
  <si>
    <t xml:space="preserve">Control percibido para detenerse al apostar</t>
  </si>
  <si>
    <t xml:space="preserve">R063</t>
  </si>
  <si>
    <t xml:space="preserve">Uso de recursos destinados a otro fin para apostar</t>
  </si>
  <si>
    <t xml:space="preserve">R064</t>
  </si>
  <si>
    <t xml:space="preserve">Consecuencias previas asociadas al juego</t>
  </si>
  <si>
    <t xml:space="preserve">R065</t>
  </si>
  <si>
    <t xml:space="preserve">17. Orientacion Prosocial</t>
  </si>
  <si>
    <t xml:space="preserve">Disposicion a ceder beneficio propio menor</t>
  </si>
  <si>
    <t xml:space="preserve">R066</t>
  </si>
  <si>
    <t xml:space="preserve">Consideracion declarada del impacto en companeros</t>
  </si>
  <si>
    <t xml:space="preserve">R067</t>
  </si>
  <si>
    <t xml:space="preserve">Priorizacion sistematica del interes propio</t>
  </si>
  <si>
    <t xml:space="preserve">R068</t>
  </si>
  <si>
    <t xml:space="preserve">Disposicion a colaborar sin beneficio directo</t>
  </si>
  <si>
    <t xml:space="preserve">R069</t>
  </si>
  <si>
    <t xml:space="preserve">18. Conflicto de Interes</t>
  </si>
  <si>
    <t xml:space="preserve">Justificacion de no declarar relacion con proveedor</t>
  </si>
  <si>
    <t xml:space="preserve">R070</t>
  </si>
  <si>
    <t xml:space="preserve">Aplicacion concreta interes no declarado en decision</t>
  </si>
  <si>
    <t xml:space="preserve">R071</t>
  </si>
  <si>
    <t xml:space="preserve">Gravedad percibida de participar con interes no declarado</t>
  </si>
  <si>
    <t xml:space="preserve">R072</t>
  </si>
  <si>
    <t xml:space="preserve">Historial declaracion proactiva de conflicto de interes</t>
  </si>
  <si>
    <t xml:space="preserve">R073</t>
  </si>
  <si>
    <t xml:space="preserve">19. Uso Indebido de Recursos No Fisicos</t>
  </si>
  <si>
    <t xml:space="preserve">Historial uso indebido de accesos digitales</t>
  </si>
  <si>
    <t xml:space="preserve">R074</t>
  </si>
  <si>
    <t xml:space="preserve">Discriminacion gravedad usos indebidos de recursos</t>
  </si>
  <si>
    <t xml:space="preserve">R075</t>
  </si>
  <si>
    <t xml:space="preserve">Justificacion uso extenso de tiempo laboral pagado</t>
  </si>
  <si>
    <t xml:space="preserve">R076</t>
  </si>
  <si>
    <t xml:space="preserve">Disposicion a usar informacion confidencial externa</t>
  </si>
  <si>
    <t xml:space="preserve">R077</t>
  </si>
  <si>
    <t xml:space="preserve">20. Percepcion de Impunidad</t>
  </si>
  <si>
    <t xml:space="preserve">Probabilidad percibida de deteccion</t>
  </si>
  <si>
    <t xml:space="preserve">2-Percepcion contexto</t>
  </si>
  <si>
    <t xml:space="preserve">R078</t>
  </si>
  <si>
    <t xml:space="preserve">Severidad y consistencia percibida de sanciones</t>
  </si>
  <si>
    <t xml:space="preserve">R079</t>
  </si>
  <si>
    <t xml:space="preserve">Asociacion impunidad y disposicion propia</t>
  </si>
  <si>
    <t xml:space="preserve">R080</t>
  </si>
  <si>
    <t xml:space="preserve">Eficacia percibida de controles de supervision</t>
  </si>
  <si>
    <t xml:space="preserve">Nota: 'Respuesta cruda (ejemplo, editable)' es la unica columna de entrada (azul); todas las demas se recalculan automaticamente. Cambiar estos valores permite simular distintos patrones de respuesta antes de tener datos piloto reales. Ver Fase6_Modelo_Calculo.docx para la formula narrativa completa y el tratamiento de invalidacion parcial/total.</t>
  </si>
  <si>
    <t xml:space="preserve">Peso en el indice general (Nucleo, parametrizable, debe sumar 1.00)</t>
  </si>
  <si>
    <t xml:space="preserve">Peso como moderador (Contextual, parametrizable, informativo)</t>
  </si>
  <si>
    <t xml:space="preserve">Nucleo</t>
  </si>
  <si>
    <t xml:space="preserve">Contextual</t>
  </si>
  <si>
    <t xml:space="preserve">Suma pesos Nucleo:</t>
  </si>
  <si>
    <t xml:space="preserve">Suma pesos moderadores Contextual:</t>
  </si>
  <si>
    <t xml:space="preserve">[HIPOTESIS] Pesos iniciales iguales dentro de cada familia (1/12 para cada dimension Nucleo, 1/8 para cada dimension Contextual como moderador). Estos valores son celdas de entrada (azul) editables: pueden ajustarse si el analisis factorial de la Fase 9 sugiere que alguna dimension debe pesar mas o menos dentro del indice general. La suma de pesos Nucleo debe mantenerse en 100% para que el Indice General de Integridad quede en una escala de 0 a 1 (o 0 a 100).</t>
  </si>
  <si>
    <t xml:space="preserve">Promedio normalizado (0-1) del ejemplo cargado</t>
  </si>
  <si>
    <t xml:space="preserve">Peso de la dimension</t>
  </si>
  <si>
    <t xml:space="preserve">Contribucion al Indice General de Integridad (IGI)</t>
  </si>
  <si>
    <t xml:space="preserve">INDICE GENERAL DE INTEGRIDAD (IGI) — escala 0 a 1</t>
  </si>
  <si>
    <t xml:space="preserve">INDICE GENERAL DE INTEGRIDAD (IGI) — escala 0 a 100</t>
  </si>
  <si>
    <t xml:space="preserve">[HECHO] El Indice General de Integridad (IGI) se calcula unicamente a partir de las 12 dimensiones de la familia Integridad Nuclear, ponderadas segun Pesos_Dimensiones. Las 8 dimensiones de Factores Contextuales se muestran aqui con su propio promedio normalizado pero NO se suman al IGI; se reportan por separado como perfil de riesgo/vulnerabilidad contextual, conforme a la Fase 1 (Seccion 1) y a la Fase 6 (Fase6_Modelo_Calculo.docx). Este calculo usa las respuestas de ejemplo cargadas en la hoja Reactivos (todas en 0 por defecto); para un caso real, sustituir la columna 'Respuesta cruda' por las respuestas efectivas de la persona evaluada. La aplicacion de las reglas de invalidacion parcial/total de los 4 indicadores de validez (Fase 2, Seccion 5) se documenta y ejemplifica en Fase6_Modelo_Calculo.docx y en Fase7_Ejemplo_Calculo.docx, y no esta automatizada en esta version inicial de la matriz.</t>
  </si>
  <si>
    <t xml:space="preserve">Fase 6 — Matriz de Scoring — Notas y convenciones</t>
  </si>
  <si>
    <t xml:space="preserve">[NOMBRE DEL INSTRUMENTO] — Nuevo instrumento de evaluacion de integridad laboral</t>
  </si>
  <si>
    <t xml:space="preserve">Preparado para: George (jsuasnavas@gmail.com). Fecha: 6 de septiembre de 2026.</t>
  </si>
  <si>
    <t xml:space="preserve">Convencion de evidencia: [HECHO] = decision ya aprobada por George en DECISIONS.md · [INFERENCIA] = derivado logicamente de una decision aprobada · [HIPOTESIS] = eleccion razonable del equipo de diseno, no validada aun empiricamente · [DESCONOCIDO] = pendiente de dato piloto.</t>
  </si>
  <si>
    <t xml:space="preserve">Hoja 'Reactivos': una fila por cada uno de los 80 reactivos del banco (Fases 3, 4 y 5), con su dimension, familia, tipo, direccion, valor maximo crudo, y las formulas que transforman una respuesta cruda de ejemplo en un valor normalizado y en su contribucion al indice general. Solo la columna 'Respuesta cruda (ejemplo, editable)' (en azul) esta pensada para ser modificada; el resto son formulas.</t>
  </si>
  <si>
    <t xml:space="preserve">Hoja 'Pesos_Dimensiones': pesos parametrizables (celdas azules) de cada una de las 20 dimensiones. Las 12 dimensiones Nucleo tienen un peso que debe sumar 100% (por defecto, igual peso 1/12 cada una); las 8 dimensiones Contextuales tienen un 'peso como moderador' informativo (por defecto 1/8 cada una), que no se suma al indice general.</t>
  </si>
  <si>
    <t xml:space="preserve">Hoja 'Resumen_Dimensiones': agrega los 80 reactivos por dimension (promedio normalizado), aplica el peso de cada dimension, y calcula el Indice General de Integridad (IGI) como la suma ponderada de las 12 dimensiones Nucleo unicamente, en escala 0-1 y 0-100.</t>
  </si>
  <si>
    <t xml:space="preserve">[HIPOTESIS] Todos los valores de pesos, y la regla de que las dimensiones Contextuales no se sumen al IGI, son decisiones de diseno inicial documentadas en la Fase 1 (familias Nucleo/Contextual) y en este documento; quedan sujetas a ajuste con el analisis factorial y de fiabilidad de la Fase 9, una vez exista muestra piloto real.</t>
  </si>
  <si>
    <t xml:space="preserve">[DESCONOCIDO] Ningun valor de esta matriz proviene de datos reales de personas evaluadas; los pesos, valores maximos y reglas de transformacion son un punto de partida razonado para el diseno, no estadisticas empiricas.</t>
  </si>
  <si>
    <t xml:space="preserve">Este archivo se complementa con Fase6_Modelo_Calculo.docx, que documenta en prosa la formula completa reactivo -&gt; dimension -&gt; indice general, y el tratamiento de invalidacion parcial y total heredado de los 4 indicadores de validez definidos en la Fase 2.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</si>
</sst>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0.00"/>
    <numFmt numFmtId="167" formatCode="0.000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8" min="6" style="0" width="10"/>
    <col collapsed="false" customWidth="true" hidden="false" outlineLevel="0" max="9" min="9" style="0" width="14"/>
    <col collapsed="false" customWidth="true" hidden="false" outlineLevel="0" max="11" min="10" style="0" width="12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7" min="16" style="0" width="14"/>
  </cols>
  <sheetData>
    <row r="1" customFormat="false" ht="46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2" t="s">
        <v>17</v>
      </c>
      <c r="B2" s="2" t="s">
        <v>18</v>
      </c>
      <c r="C2" s="3" t="str">
        <f aca="false">INDEX(Pesos_Dimensiones!$B$2:$B$21,MATCH(B2,Pesos_Dimensiones!$A$2:$A$21,0))</f>
        <v>Nucleo</v>
      </c>
      <c r="D2" s="2" t="s">
        <v>19</v>
      </c>
      <c r="E2" s="2" t="s">
        <v>20</v>
      </c>
      <c r="F2" s="2" t="n">
        <v>0</v>
      </c>
      <c r="G2" s="2" t="n">
        <v>4</v>
      </c>
      <c r="H2" s="2" t="s">
        <v>21</v>
      </c>
      <c r="I2" s="4" t="n">
        <v>0</v>
      </c>
      <c r="J2" s="2" t="n">
        <f aca="false">IF(H2="Inverso",G2-I2,I2)</f>
        <v>0</v>
      </c>
      <c r="K2" s="2" t="n">
        <f aca="false">IFERROR(J2/G2,0)</f>
        <v>0</v>
      </c>
      <c r="L2" s="2" t="s">
        <v>22</v>
      </c>
      <c r="M2" s="2" t="s">
        <v>23</v>
      </c>
      <c r="N2" s="5" t="n">
        <f aca="false">INDEX(Pesos_Dimensiones!$C$2:$C$21,MATCH(B2,Pesos_Dimensiones!$A$2:$A$21,0))</f>
        <v>0.0833333333333333</v>
      </c>
      <c r="O2" s="2" t="n">
        <f aca="false">1/COUNTIF($B$2:$B$81,B2)</f>
        <v>0.25</v>
      </c>
      <c r="P2" s="2" t="n">
        <f aca="false">IF(C2="Nucleo",N2*O2,0)</f>
        <v>0.0208333333333333</v>
      </c>
      <c r="Q2" s="2" t="n">
        <f aca="false">K2*P2</f>
        <v>0</v>
      </c>
    </row>
    <row r="3" customFormat="false" ht="15" hidden="false" customHeight="false" outlineLevel="0" collapsed="false">
      <c r="A3" s="2" t="s">
        <v>22</v>
      </c>
      <c r="B3" s="2" t="s">
        <v>18</v>
      </c>
      <c r="C3" s="3" t="str">
        <f aca="false">INDEX(Pesos_Dimensiones!$B$2:$B$21,MATCH(B3,Pesos_Dimensiones!$A$2:$A$21,0))</f>
        <v>Nucleo</v>
      </c>
      <c r="D3" s="2" t="s">
        <v>24</v>
      </c>
      <c r="E3" s="2" t="s">
        <v>25</v>
      </c>
      <c r="F3" s="2" t="n">
        <v>0</v>
      </c>
      <c r="G3" s="2" t="n">
        <v>4</v>
      </c>
      <c r="H3" s="2" t="s">
        <v>21</v>
      </c>
      <c r="I3" s="4" t="n">
        <v>0</v>
      </c>
      <c r="J3" s="2" t="n">
        <f aca="false">IF(H3="Inverso",G3-I3,I3)</f>
        <v>0</v>
      </c>
      <c r="K3" s="2" t="n">
        <f aca="false">IFERROR(J3/G3,0)</f>
        <v>0</v>
      </c>
      <c r="L3" s="2" t="s">
        <v>17</v>
      </c>
      <c r="M3" s="2" t="s">
        <v>23</v>
      </c>
      <c r="N3" s="5" t="n">
        <f aca="false">INDEX(Pesos_Dimensiones!$C$2:$C$21,MATCH(B3,Pesos_Dimensiones!$A$2:$A$21,0))</f>
        <v>0.0833333333333333</v>
      </c>
      <c r="O3" s="2" t="n">
        <f aca="false">1/COUNTIF($B$2:$B$81,B3)</f>
        <v>0.25</v>
      </c>
      <c r="P3" s="2" t="n">
        <f aca="false">IF(C3="Nucleo",N3*O3,0)</f>
        <v>0.0208333333333333</v>
      </c>
      <c r="Q3" s="2" t="n">
        <f aca="false">K3*P3</f>
        <v>0</v>
      </c>
    </row>
    <row r="4" customFormat="false" ht="15" hidden="false" customHeight="false" outlineLevel="0" collapsed="false">
      <c r="A4" s="2" t="s">
        <v>26</v>
      </c>
      <c r="B4" s="2" t="s">
        <v>18</v>
      </c>
      <c r="C4" s="3" t="str">
        <f aca="false">INDEX(Pesos_Dimensiones!$B$2:$B$21,MATCH(B4,Pesos_Dimensiones!$A$2:$A$21,0))</f>
        <v>Nucleo</v>
      </c>
      <c r="D4" s="2" t="s">
        <v>27</v>
      </c>
      <c r="E4" s="2" t="s">
        <v>28</v>
      </c>
      <c r="F4" s="2" t="n">
        <v>0</v>
      </c>
      <c r="G4" s="2" t="n">
        <v>3</v>
      </c>
      <c r="H4" s="2" t="s">
        <v>21</v>
      </c>
      <c r="I4" s="4" t="n">
        <v>0</v>
      </c>
      <c r="J4" s="2" t="n">
        <f aca="false">IF(H4="Inverso",G4-I4,I4)</f>
        <v>0</v>
      </c>
      <c r="K4" s="2" t="n">
        <f aca="false">IFERROR(J4/G4,0)</f>
        <v>0</v>
      </c>
      <c r="L4" s="2" t="s">
        <v>29</v>
      </c>
      <c r="M4" s="2" t="s">
        <v>30</v>
      </c>
      <c r="N4" s="5" t="n">
        <f aca="false">INDEX(Pesos_Dimensiones!$C$2:$C$21,MATCH(B4,Pesos_Dimensiones!$A$2:$A$21,0))</f>
        <v>0.0833333333333333</v>
      </c>
      <c r="O4" s="2" t="n">
        <f aca="false">1/COUNTIF($B$2:$B$81,B4)</f>
        <v>0.25</v>
      </c>
      <c r="P4" s="2" t="n">
        <f aca="false">IF(C4="Nucleo",N4*O4,0)</f>
        <v>0.0208333333333333</v>
      </c>
      <c r="Q4" s="2" t="n">
        <f aca="false">K4*P4</f>
        <v>0</v>
      </c>
    </row>
    <row r="5" customFormat="false" ht="15" hidden="false" customHeight="false" outlineLevel="0" collapsed="false">
      <c r="A5" s="2" t="s">
        <v>31</v>
      </c>
      <c r="B5" s="2" t="s">
        <v>18</v>
      </c>
      <c r="C5" s="3" t="str">
        <f aca="false">INDEX(Pesos_Dimensiones!$B$2:$B$21,MATCH(B5,Pesos_Dimensiones!$A$2:$A$21,0))</f>
        <v>Nucleo</v>
      </c>
      <c r="D5" s="2" t="s">
        <v>32</v>
      </c>
      <c r="E5" s="2" t="s">
        <v>33</v>
      </c>
      <c r="F5" s="2" t="n">
        <v>0</v>
      </c>
      <c r="G5" s="2" t="n">
        <v>3</v>
      </c>
      <c r="H5" s="2" t="s">
        <v>34</v>
      </c>
      <c r="I5" s="4" t="n">
        <v>0</v>
      </c>
      <c r="J5" s="2" t="n">
        <f aca="false">IF(H5="Inverso",G5-I5,I5)</f>
        <v>3</v>
      </c>
      <c r="K5" s="2" t="n">
        <f aca="false">IFERROR(J5/G5,0)</f>
        <v>1</v>
      </c>
      <c r="L5" s="2" t="s">
        <v>29</v>
      </c>
      <c r="M5" s="2" t="s">
        <v>30</v>
      </c>
      <c r="N5" s="5" t="n">
        <f aca="false">INDEX(Pesos_Dimensiones!$C$2:$C$21,MATCH(B5,Pesos_Dimensiones!$A$2:$A$21,0))</f>
        <v>0.0833333333333333</v>
      </c>
      <c r="O5" s="2" t="n">
        <f aca="false">1/COUNTIF($B$2:$B$81,B5)</f>
        <v>0.25</v>
      </c>
      <c r="P5" s="2" t="n">
        <f aca="false">IF(C5="Nucleo",N5*O5,0)</f>
        <v>0.0208333333333333</v>
      </c>
      <c r="Q5" s="2" t="n">
        <f aca="false">K5*P5</f>
        <v>0.0208333333333333</v>
      </c>
    </row>
    <row r="6" customFormat="false" ht="15" hidden="false" customHeight="false" outlineLevel="0" collapsed="false">
      <c r="A6" s="2" t="s">
        <v>35</v>
      </c>
      <c r="B6" s="2" t="s">
        <v>36</v>
      </c>
      <c r="C6" s="3" t="str">
        <f aca="false">INDEX(Pesos_Dimensiones!$B$2:$B$21,MATCH(B6,Pesos_Dimensiones!$A$2:$A$21,0))</f>
        <v>Nucleo</v>
      </c>
      <c r="D6" s="2" t="s">
        <v>37</v>
      </c>
      <c r="E6" s="2" t="s">
        <v>33</v>
      </c>
      <c r="F6" s="2" t="n">
        <v>0</v>
      </c>
      <c r="G6" s="2" t="n">
        <v>3</v>
      </c>
      <c r="H6" s="2" t="s">
        <v>21</v>
      </c>
      <c r="I6" s="4" t="n">
        <v>0</v>
      </c>
      <c r="J6" s="2" t="n">
        <f aca="false">IF(H6="Inverso",G6-I6,I6)</f>
        <v>0</v>
      </c>
      <c r="K6" s="2" t="n">
        <f aca="false">IFERROR(J6/G6,0)</f>
        <v>0</v>
      </c>
      <c r="L6" s="2" t="s">
        <v>38</v>
      </c>
      <c r="M6" s="2" t="s">
        <v>23</v>
      </c>
      <c r="N6" s="5" t="n">
        <f aca="false">INDEX(Pesos_Dimensiones!$C$2:$C$21,MATCH(B6,Pesos_Dimensiones!$A$2:$A$21,0))</f>
        <v>0.0833333333333333</v>
      </c>
      <c r="O6" s="2" t="n">
        <f aca="false">1/COUNTIF($B$2:$B$81,B6)</f>
        <v>0.25</v>
      </c>
      <c r="P6" s="2" t="n">
        <f aca="false">IF(C6="Nucleo",N6*O6,0)</f>
        <v>0.0208333333333333</v>
      </c>
      <c r="Q6" s="2" t="n">
        <f aca="false">K6*P6</f>
        <v>0</v>
      </c>
    </row>
    <row r="7" customFormat="false" ht="15" hidden="false" customHeight="false" outlineLevel="0" collapsed="false">
      <c r="A7" s="2" t="s">
        <v>38</v>
      </c>
      <c r="B7" s="2" t="s">
        <v>36</v>
      </c>
      <c r="C7" s="3" t="str">
        <f aca="false">INDEX(Pesos_Dimensiones!$B$2:$B$21,MATCH(B7,Pesos_Dimensiones!$A$2:$A$21,0))</f>
        <v>Nucleo</v>
      </c>
      <c r="D7" s="2" t="s">
        <v>39</v>
      </c>
      <c r="E7" s="2" t="s">
        <v>40</v>
      </c>
      <c r="F7" s="2" t="n">
        <v>0</v>
      </c>
      <c r="G7" s="2" t="n">
        <v>3</v>
      </c>
      <c r="H7" s="2" t="s">
        <v>21</v>
      </c>
      <c r="I7" s="4" t="n">
        <v>0</v>
      </c>
      <c r="J7" s="2" t="n">
        <f aca="false">IF(H7="Inverso",G7-I7,I7)</f>
        <v>0</v>
      </c>
      <c r="K7" s="2" t="n">
        <f aca="false">IFERROR(J7/G7,0)</f>
        <v>0</v>
      </c>
      <c r="L7" s="2" t="s">
        <v>35</v>
      </c>
      <c r="M7" s="2" t="s">
        <v>23</v>
      </c>
      <c r="N7" s="5" t="n">
        <f aca="false">INDEX(Pesos_Dimensiones!$C$2:$C$21,MATCH(B7,Pesos_Dimensiones!$A$2:$A$21,0))</f>
        <v>0.0833333333333333</v>
      </c>
      <c r="O7" s="2" t="n">
        <f aca="false">1/COUNTIF($B$2:$B$81,B7)</f>
        <v>0.25</v>
      </c>
      <c r="P7" s="2" t="n">
        <f aca="false">IF(C7="Nucleo",N7*O7,0)</f>
        <v>0.0208333333333333</v>
      </c>
      <c r="Q7" s="2" t="n">
        <f aca="false">K7*P7</f>
        <v>0</v>
      </c>
    </row>
    <row r="8" customFormat="false" ht="15" hidden="false" customHeight="false" outlineLevel="0" collapsed="false">
      <c r="A8" s="2" t="s">
        <v>41</v>
      </c>
      <c r="B8" s="2" t="s">
        <v>36</v>
      </c>
      <c r="C8" s="3" t="str">
        <f aca="false">INDEX(Pesos_Dimensiones!$B$2:$B$21,MATCH(B8,Pesos_Dimensiones!$A$2:$A$21,0))</f>
        <v>Nucleo</v>
      </c>
      <c r="D8" s="2" t="s">
        <v>42</v>
      </c>
      <c r="E8" s="2" t="s">
        <v>20</v>
      </c>
      <c r="F8" s="2" t="n">
        <v>0</v>
      </c>
      <c r="G8" s="2" t="n">
        <v>4</v>
      </c>
      <c r="H8" s="2" t="s">
        <v>21</v>
      </c>
      <c r="I8" s="4" t="n">
        <v>0</v>
      </c>
      <c r="J8" s="2" t="n">
        <f aca="false">IF(H8="Inverso",G8-I8,I8)</f>
        <v>0</v>
      </c>
      <c r="K8" s="2" t="n">
        <f aca="false">IFERROR(J8/G8,0)</f>
        <v>0</v>
      </c>
      <c r="L8" s="2" t="s">
        <v>29</v>
      </c>
      <c r="M8" s="2" t="s">
        <v>30</v>
      </c>
      <c r="N8" s="5" t="n">
        <f aca="false">INDEX(Pesos_Dimensiones!$C$2:$C$21,MATCH(B8,Pesos_Dimensiones!$A$2:$A$21,0))</f>
        <v>0.0833333333333333</v>
      </c>
      <c r="O8" s="2" t="n">
        <f aca="false">1/COUNTIF($B$2:$B$81,B8)</f>
        <v>0.25</v>
      </c>
      <c r="P8" s="2" t="n">
        <f aca="false">IF(C8="Nucleo",N8*O8,0)</f>
        <v>0.0208333333333333</v>
      </c>
      <c r="Q8" s="2" t="n">
        <f aca="false">K8*P8</f>
        <v>0</v>
      </c>
    </row>
    <row r="9" customFormat="false" ht="15" hidden="false" customHeight="false" outlineLevel="0" collapsed="false">
      <c r="A9" s="2" t="s">
        <v>43</v>
      </c>
      <c r="B9" s="2" t="s">
        <v>36</v>
      </c>
      <c r="C9" s="3" t="str">
        <f aca="false">INDEX(Pesos_Dimensiones!$B$2:$B$21,MATCH(B9,Pesos_Dimensiones!$A$2:$A$21,0))</f>
        <v>Nucleo</v>
      </c>
      <c r="D9" s="2" t="s">
        <v>44</v>
      </c>
      <c r="E9" s="2" t="s">
        <v>28</v>
      </c>
      <c r="F9" s="2" t="n">
        <v>0</v>
      </c>
      <c r="G9" s="2" t="n">
        <v>3</v>
      </c>
      <c r="H9" s="2" t="s">
        <v>21</v>
      </c>
      <c r="I9" s="4" t="n">
        <v>0</v>
      </c>
      <c r="J9" s="2" t="n">
        <f aca="false">IF(H9="Inverso",G9-I9,I9)</f>
        <v>0</v>
      </c>
      <c r="K9" s="2" t="n">
        <f aca="false">IFERROR(J9/G9,0)</f>
        <v>0</v>
      </c>
      <c r="L9" s="2" t="s">
        <v>29</v>
      </c>
      <c r="M9" s="2" t="s">
        <v>30</v>
      </c>
      <c r="N9" s="5" t="n">
        <f aca="false">INDEX(Pesos_Dimensiones!$C$2:$C$21,MATCH(B9,Pesos_Dimensiones!$A$2:$A$21,0))</f>
        <v>0.0833333333333333</v>
      </c>
      <c r="O9" s="2" t="n">
        <f aca="false">1/COUNTIF($B$2:$B$81,B9)</f>
        <v>0.25</v>
      </c>
      <c r="P9" s="2" t="n">
        <f aca="false">IF(C9="Nucleo",N9*O9,0)</f>
        <v>0.0208333333333333</v>
      </c>
      <c r="Q9" s="2" t="n">
        <f aca="false">K9*P9</f>
        <v>0</v>
      </c>
    </row>
    <row r="10" customFormat="false" ht="15" hidden="false" customHeight="false" outlineLevel="0" collapsed="false">
      <c r="A10" s="2" t="s">
        <v>45</v>
      </c>
      <c r="B10" s="2" t="s">
        <v>46</v>
      </c>
      <c r="C10" s="3" t="str">
        <f aca="false">INDEX(Pesos_Dimensiones!$B$2:$B$21,MATCH(B10,Pesos_Dimensiones!$A$2:$A$21,0))</f>
        <v>Nucleo</v>
      </c>
      <c r="D10" s="2" t="s">
        <v>47</v>
      </c>
      <c r="E10" s="2" t="s">
        <v>20</v>
      </c>
      <c r="F10" s="2" t="n">
        <v>0</v>
      </c>
      <c r="G10" s="2" t="n">
        <v>4</v>
      </c>
      <c r="H10" s="2" t="s">
        <v>34</v>
      </c>
      <c r="I10" s="4" t="n">
        <v>0</v>
      </c>
      <c r="J10" s="2" t="n">
        <f aca="false">IF(H10="Inverso",G10-I10,I10)</f>
        <v>4</v>
      </c>
      <c r="K10" s="2" t="n">
        <f aca="false">IFERROR(J10/G10,0)</f>
        <v>1</v>
      </c>
      <c r="L10" s="2" t="s">
        <v>48</v>
      </c>
      <c r="M10" s="2" t="s">
        <v>23</v>
      </c>
      <c r="N10" s="5" t="n">
        <f aca="false">INDEX(Pesos_Dimensiones!$C$2:$C$21,MATCH(B10,Pesos_Dimensiones!$A$2:$A$21,0))</f>
        <v>0.0833333333333333</v>
      </c>
      <c r="O10" s="2" t="n">
        <f aca="false">1/COUNTIF($B$2:$B$81,B10)</f>
        <v>0.25</v>
      </c>
      <c r="P10" s="2" t="n">
        <f aca="false">IF(C10="Nucleo",N10*O10,0)</f>
        <v>0.0208333333333333</v>
      </c>
      <c r="Q10" s="2" t="n">
        <f aca="false">K10*P10</f>
        <v>0.0208333333333333</v>
      </c>
    </row>
    <row r="11" customFormat="false" ht="15" hidden="false" customHeight="false" outlineLevel="0" collapsed="false">
      <c r="A11" s="2" t="s">
        <v>48</v>
      </c>
      <c r="B11" s="2" t="s">
        <v>46</v>
      </c>
      <c r="C11" s="3" t="str">
        <f aca="false">INDEX(Pesos_Dimensiones!$B$2:$B$21,MATCH(B11,Pesos_Dimensiones!$A$2:$A$21,0))</f>
        <v>Nucleo</v>
      </c>
      <c r="D11" s="2" t="s">
        <v>49</v>
      </c>
      <c r="E11" s="2" t="s">
        <v>25</v>
      </c>
      <c r="F11" s="2" t="n">
        <v>0</v>
      </c>
      <c r="G11" s="2" t="n">
        <v>4</v>
      </c>
      <c r="H11" s="2" t="s">
        <v>21</v>
      </c>
      <c r="I11" s="4" t="n">
        <v>0</v>
      </c>
      <c r="J11" s="2" t="n">
        <f aca="false">IF(H11="Inverso",G11-I11,I11)</f>
        <v>0</v>
      </c>
      <c r="K11" s="2" t="n">
        <f aca="false">IFERROR(J11/G11,0)</f>
        <v>0</v>
      </c>
      <c r="L11" s="2" t="s">
        <v>45</v>
      </c>
      <c r="M11" s="2" t="s">
        <v>23</v>
      </c>
      <c r="N11" s="5" t="n">
        <f aca="false">INDEX(Pesos_Dimensiones!$C$2:$C$21,MATCH(B11,Pesos_Dimensiones!$A$2:$A$21,0))</f>
        <v>0.0833333333333333</v>
      </c>
      <c r="O11" s="2" t="n">
        <f aca="false">1/COUNTIF($B$2:$B$81,B11)</f>
        <v>0.25</v>
      </c>
      <c r="P11" s="2" t="n">
        <f aca="false">IF(C11="Nucleo",N11*O11,0)</f>
        <v>0.0208333333333333</v>
      </c>
      <c r="Q11" s="2" t="n">
        <f aca="false">K11*P11</f>
        <v>0</v>
      </c>
    </row>
    <row r="12" customFormat="false" ht="15" hidden="false" customHeight="false" outlineLevel="0" collapsed="false">
      <c r="A12" s="2" t="s">
        <v>50</v>
      </c>
      <c r="B12" s="2" t="s">
        <v>46</v>
      </c>
      <c r="C12" s="3" t="str">
        <f aca="false">INDEX(Pesos_Dimensiones!$B$2:$B$21,MATCH(B12,Pesos_Dimensiones!$A$2:$A$21,0))</f>
        <v>Nucleo</v>
      </c>
      <c r="D12" s="2" t="s">
        <v>51</v>
      </c>
      <c r="E12" s="2" t="s">
        <v>33</v>
      </c>
      <c r="F12" s="2" t="n">
        <v>0</v>
      </c>
      <c r="G12" s="2" t="n">
        <v>3</v>
      </c>
      <c r="H12" s="2" t="s">
        <v>34</v>
      </c>
      <c r="I12" s="4" t="n">
        <v>0</v>
      </c>
      <c r="J12" s="2" t="n">
        <f aca="false">IF(H12="Inverso",G12-I12,I12)</f>
        <v>3</v>
      </c>
      <c r="K12" s="2" t="n">
        <f aca="false">IFERROR(J12/G12,0)</f>
        <v>1</v>
      </c>
      <c r="L12" s="2" t="s">
        <v>29</v>
      </c>
      <c r="M12" s="2" t="s">
        <v>30</v>
      </c>
      <c r="N12" s="5" t="n">
        <f aca="false">INDEX(Pesos_Dimensiones!$C$2:$C$21,MATCH(B12,Pesos_Dimensiones!$A$2:$A$21,0))</f>
        <v>0.0833333333333333</v>
      </c>
      <c r="O12" s="2" t="n">
        <f aca="false">1/COUNTIF($B$2:$B$81,B12)</f>
        <v>0.25</v>
      </c>
      <c r="P12" s="2" t="n">
        <f aca="false">IF(C12="Nucleo",N12*O12,0)</f>
        <v>0.0208333333333333</v>
      </c>
      <c r="Q12" s="2" t="n">
        <f aca="false">K12*P12</f>
        <v>0.0208333333333333</v>
      </c>
    </row>
    <row r="13" customFormat="false" ht="15" hidden="false" customHeight="false" outlineLevel="0" collapsed="false">
      <c r="A13" s="2" t="s">
        <v>52</v>
      </c>
      <c r="B13" s="2" t="s">
        <v>46</v>
      </c>
      <c r="C13" s="3" t="str">
        <f aca="false">INDEX(Pesos_Dimensiones!$B$2:$B$21,MATCH(B13,Pesos_Dimensiones!$A$2:$A$21,0))</f>
        <v>Nucleo</v>
      </c>
      <c r="D13" s="2" t="s">
        <v>53</v>
      </c>
      <c r="E13" s="2" t="s">
        <v>54</v>
      </c>
      <c r="F13" s="2" t="n">
        <v>0</v>
      </c>
      <c r="G13" s="2" t="n">
        <v>3</v>
      </c>
      <c r="H13" s="2" t="s">
        <v>21</v>
      </c>
      <c r="I13" s="4" t="n">
        <v>0</v>
      </c>
      <c r="J13" s="2" t="n">
        <f aca="false">IF(H13="Inverso",G13-I13,I13)</f>
        <v>0</v>
      </c>
      <c r="K13" s="2" t="n">
        <f aca="false">IFERROR(J13/G13,0)</f>
        <v>0</v>
      </c>
      <c r="L13" s="2" t="s">
        <v>29</v>
      </c>
      <c r="M13" s="2" t="s">
        <v>30</v>
      </c>
      <c r="N13" s="5" t="n">
        <f aca="false">INDEX(Pesos_Dimensiones!$C$2:$C$21,MATCH(B13,Pesos_Dimensiones!$A$2:$A$21,0))</f>
        <v>0.0833333333333333</v>
      </c>
      <c r="O13" s="2" t="n">
        <f aca="false">1/COUNTIF($B$2:$B$81,B13)</f>
        <v>0.25</v>
      </c>
      <c r="P13" s="2" t="n">
        <f aca="false">IF(C13="Nucleo",N13*O13,0)</f>
        <v>0.0208333333333333</v>
      </c>
      <c r="Q13" s="2" t="n">
        <f aca="false">K13*P13</f>
        <v>0</v>
      </c>
    </row>
    <row r="14" customFormat="false" ht="15" hidden="false" customHeight="false" outlineLevel="0" collapsed="false">
      <c r="A14" s="2" t="s">
        <v>55</v>
      </c>
      <c r="B14" s="2" t="s">
        <v>56</v>
      </c>
      <c r="C14" s="3" t="str">
        <f aca="false">INDEX(Pesos_Dimensiones!$B$2:$B$21,MATCH(B14,Pesos_Dimensiones!$A$2:$A$21,0))</f>
        <v>Nucleo</v>
      </c>
      <c r="D14" s="2" t="s">
        <v>57</v>
      </c>
      <c r="E14" s="2" t="s">
        <v>20</v>
      </c>
      <c r="F14" s="2" t="n">
        <v>0</v>
      </c>
      <c r="G14" s="2" t="n">
        <v>4</v>
      </c>
      <c r="H14" s="2" t="s">
        <v>34</v>
      </c>
      <c r="I14" s="4" t="n">
        <v>0</v>
      </c>
      <c r="J14" s="2" t="n">
        <f aca="false">IF(H14="Inverso",G14-I14,I14)</f>
        <v>4</v>
      </c>
      <c r="K14" s="2" t="n">
        <f aca="false">IFERROR(J14/G14,0)</f>
        <v>1</v>
      </c>
      <c r="L14" s="2" t="s">
        <v>58</v>
      </c>
      <c r="M14" s="2" t="s">
        <v>23</v>
      </c>
      <c r="N14" s="5" t="n">
        <f aca="false">INDEX(Pesos_Dimensiones!$C$2:$C$21,MATCH(B14,Pesos_Dimensiones!$A$2:$A$21,0))</f>
        <v>0.0833333333333333</v>
      </c>
      <c r="O14" s="2" t="n">
        <f aca="false">1/COUNTIF($B$2:$B$81,B14)</f>
        <v>0.25</v>
      </c>
      <c r="P14" s="2" t="n">
        <f aca="false">IF(C14="Nucleo",N14*O14,0)</f>
        <v>0.0208333333333333</v>
      </c>
      <c r="Q14" s="2" t="n">
        <f aca="false">K14*P14</f>
        <v>0.0208333333333333</v>
      </c>
    </row>
    <row r="15" customFormat="false" ht="15" hidden="false" customHeight="false" outlineLevel="0" collapsed="false">
      <c r="A15" s="2" t="s">
        <v>58</v>
      </c>
      <c r="B15" s="2" t="s">
        <v>56</v>
      </c>
      <c r="C15" s="3" t="str">
        <f aca="false">INDEX(Pesos_Dimensiones!$B$2:$B$21,MATCH(B15,Pesos_Dimensiones!$A$2:$A$21,0))</f>
        <v>Nucleo</v>
      </c>
      <c r="D15" s="2" t="s">
        <v>59</v>
      </c>
      <c r="E15" s="2" t="s">
        <v>40</v>
      </c>
      <c r="F15" s="2" t="n">
        <v>0</v>
      </c>
      <c r="G15" s="2" t="n">
        <v>3</v>
      </c>
      <c r="H15" s="2" t="s">
        <v>21</v>
      </c>
      <c r="I15" s="4" t="n">
        <v>0</v>
      </c>
      <c r="J15" s="2" t="n">
        <f aca="false">IF(H15="Inverso",G15-I15,I15)</f>
        <v>0</v>
      </c>
      <c r="K15" s="2" t="n">
        <f aca="false">IFERROR(J15/G15,0)</f>
        <v>0</v>
      </c>
      <c r="L15" s="2" t="s">
        <v>55</v>
      </c>
      <c r="M15" s="2" t="s">
        <v>23</v>
      </c>
      <c r="N15" s="5" t="n">
        <f aca="false">INDEX(Pesos_Dimensiones!$C$2:$C$21,MATCH(B15,Pesos_Dimensiones!$A$2:$A$21,0))</f>
        <v>0.0833333333333333</v>
      </c>
      <c r="O15" s="2" t="n">
        <f aca="false">1/COUNTIF($B$2:$B$81,B15)</f>
        <v>0.25</v>
      </c>
      <c r="P15" s="2" t="n">
        <f aca="false">IF(C15="Nucleo",N15*O15,0)</f>
        <v>0.0208333333333333</v>
      </c>
      <c r="Q15" s="2" t="n">
        <f aca="false">K15*P15</f>
        <v>0</v>
      </c>
    </row>
    <row r="16" customFormat="false" ht="15" hidden="false" customHeight="false" outlineLevel="0" collapsed="false">
      <c r="A16" s="2" t="s">
        <v>60</v>
      </c>
      <c r="B16" s="2" t="s">
        <v>56</v>
      </c>
      <c r="C16" s="3" t="str">
        <f aca="false">INDEX(Pesos_Dimensiones!$B$2:$B$21,MATCH(B16,Pesos_Dimensiones!$A$2:$A$21,0))</f>
        <v>Nucleo</v>
      </c>
      <c r="D16" s="2" t="s">
        <v>61</v>
      </c>
      <c r="E16" s="2" t="s">
        <v>25</v>
      </c>
      <c r="F16" s="2" t="n">
        <v>0</v>
      </c>
      <c r="G16" s="2" t="n">
        <v>3</v>
      </c>
      <c r="H16" s="2" t="s">
        <v>21</v>
      </c>
      <c r="I16" s="4" t="n">
        <v>0</v>
      </c>
      <c r="J16" s="2" t="n">
        <f aca="false">IF(H16="Inverso",G16-I16,I16)</f>
        <v>0</v>
      </c>
      <c r="K16" s="2" t="n">
        <f aca="false">IFERROR(J16/G16,0)</f>
        <v>0</v>
      </c>
      <c r="L16" s="2" t="s">
        <v>29</v>
      </c>
      <c r="M16" s="2" t="s">
        <v>30</v>
      </c>
      <c r="N16" s="5" t="n">
        <f aca="false">INDEX(Pesos_Dimensiones!$C$2:$C$21,MATCH(B16,Pesos_Dimensiones!$A$2:$A$21,0))</f>
        <v>0.0833333333333333</v>
      </c>
      <c r="O16" s="2" t="n">
        <f aca="false">1/COUNTIF($B$2:$B$81,B16)</f>
        <v>0.25</v>
      </c>
      <c r="P16" s="2" t="n">
        <f aca="false">IF(C16="Nucleo",N16*O16,0)</f>
        <v>0.0208333333333333</v>
      </c>
      <c r="Q16" s="2" t="n">
        <f aca="false">K16*P16</f>
        <v>0</v>
      </c>
    </row>
    <row r="17" customFormat="false" ht="15" hidden="false" customHeight="false" outlineLevel="0" collapsed="false">
      <c r="A17" s="2" t="s">
        <v>62</v>
      </c>
      <c r="B17" s="2" t="s">
        <v>56</v>
      </c>
      <c r="C17" s="3" t="str">
        <f aca="false">INDEX(Pesos_Dimensiones!$B$2:$B$21,MATCH(B17,Pesos_Dimensiones!$A$2:$A$21,0))</f>
        <v>Nucleo</v>
      </c>
      <c r="D17" s="2" t="s">
        <v>63</v>
      </c>
      <c r="E17" s="2" t="s">
        <v>33</v>
      </c>
      <c r="F17" s="2" t="n">
        <v>0</v>
      </c>
      <c r="G17" s="2" t="n">
        <v>3</v>
      </c>
      <c r="H17" s="2" t="s">
        <v>34</v>
      </c>
      <c r="I17" s="4" t="n">
        <v>0</v>
      </c>
      <c r="J17" s="2" t="n">
        <f aca="false">IF(H17="Inverso",G17-I17,I17)</f>
        <v>3</v>
      </c>
      <c r="K17" s="2" t="n">
        <f aca="false">IFERROR(J17/G17,0)</f>
        <v>1</v>
      </c>
      <c r="L17" s="2" t="s">
        <v>29</v>
      </c>
      <c r="M17" s="2" t="s">
        <v>30</v>
      </c>
      <c r="N17" s="5" t="n">
        <f aca="false">INDEX(Pesos_Dimensiones!$C$2:$C$21,MATCH(B17,Pesos_Dimensiones!$A$2:$A$21,0))</f>
        <v>0.0833333333333333</v>
      </c>
      <c r="O17" s="2" t="n">
        <f aca="false">1/COUNTIF($B$2:$B$81,B17)</f>
        <v>0.25</v>
      </c>
      <c r="P17" s="2" t="n">
        <f aca="false">IF(C17="Nucleo",N17*O17,0)</f>
        <v>0.0208333333333333</v>
      </c>
      <c r="Q17" s="2" t="n">
        <f aca="false">K17*P17</f>
        <v>0.0208333333333333</v>
      </c>
    </row>
    <row r="18" customFormat="false" ht="15" hidden="false" customHeight="false" outlineLevel="0" collapsed="false">
      <c r="A18" s="2" t="s">
        <v>64</v>
      </c>
      <c r="B18" s="2" t="s">
        <v>65</v>
      </c>
      <c r="C18" s="3" t="str">
        <f aca="false">INDEX(Pesos_Dimensiones!$B$2:$B$21,MATCH(B18,Pesos_Dimensiones!$A$2:$A$21,0))</f>
        <v>Nucleo</v>
      </c>
      <c r="D18" s="2" t="s">
        <v>66</v>
      </c>
      <c r="E18" s="2" t="s">
        <v>20</v>
      </c>
      <c r="F18" s="2" t="n">
        <v>0</v>
      </c>
      <c r="G18" s="2" t="n">
        <v>4</v>
      </c>
      <c r="H18" s="2" t="s">
        <v>21</v>
      </c>
      <c r="I18" s="4" t="n">
        <v>0</v>
      </c>
      <c r="J18" s="2" t="n">
        <f aca="false">IF(H18="Inverso",G18-I18,I18)</f>
        <v>0</v>
      </c>
      <c r="K18" s="2" t="n">
        <f aca="false">IFERROR(J18/G18,0)</f>
        <v>0</v>
      </c>
      <c r="L18" s="2" t="s">
        <v>67</v>
      </c>
      <c r="M18" s="2" t="s">
        <v>23</v>
      </c>
      <c r="N18" s="5" t="n">
        <f aca="false">INDEX(Pesos_Dimensiones!$C$2:$C$21,MATCH(B18,Pesos_Dimensiones!$A$2:$A$21,0))</f>
        <v>0.0833333333333333</v>
      </c>
      <c r="O18" s="2" t="n">
        <f aca="false">1/COUNTIF($B$2:$B$81,B18)</f>
        <v>0.25</v>
      </c>
      <c r="P18" s="2" t="n">
        <f aca="false">IF(C18="Nucleo",N18*O18,0)</f>
        <v>0.0208333333333333</v>
      </c>
      <c r="Q18" s="2" t="n">
        <f aca="false">K18*P18</f>
        <v>0</v>
      </c>
    </row>
    <row r="19" customFormat="false" ht="15" hidden="false" customHeight="false" outlineLevel="0" collapsed="false">
      <c r="A19" s="2" t="s">
        <v>67</v>
      </c>
      <c r="B19" s="2" t="s">
        <v>65</v>
      </c>
      <c r="C19" s="3" t="str">
        <f aca="false">INDEX(Pesos_Dimensiones!$B$2:$B$21,MATCH(B19,Pesos_Dimensiones!$A$2:$A$21,0))</f>
        <v>Nucleo</v>
      </c>
      <c r="D19" s="2" t="s">
        <v>68</v>
      </c>
      <c r="E19" s="2" t="s">
        <v>33</v>
      </c>
      <c r="F19" s="2" t="n">
        <v>0</v>
      </c>
      <c r="G19" s="2" t="n">
        <v>3</v>
      </c>
      <c r="H19" s="2" t="s">
        <v>34</v>
      </c>
      <c r="I19" s="4" t="n">
        <v>0</v>
      </c>
      <c r="J19" s="2" t="n">
        <f aca="false">IF(H19="Inverso",G19-I19,I19)</f>
        <v>3</v>
      </c>
      <c r="K19" s="2" t="n">
        <f aca="false">IFERROR(J19/G19,0)</f>
        <v>1</v>
      </c>
      <c r="L19" s="2" t="s">
        <v>64</v>
      </c>
      <c r="M19" s="2" t="s">
        <v>23</v>
      </c>
      <c r="N19" s="5" t="n">
        <f aca="false">INDEX(Pesos_Dimensiones!$C$2:$C$21,MATCH(B19,Pesos_Dimensiones!$A$2:$A$21,0))</f>
        <v>0.0833333333333333</v>
      </c>
      <c r="O19" s="2" t="n">
        <f aca="false">1/COUNTIF($B$2:$B$81,B19)</f>
        <v>0.25</v>
      </c>
      <c r="P19" s="2" t="n">
        <f aca="false">IF(C19="Nucleo",N19*O19,0)</f>
        <v>0.0208333333333333</v>
      </c>
      <c r="Q19" s="2" t="n">
        <f aca="false">K19*P19</f>
        <v>0.0208333333333333</v>
      </c>
    </row>
    <row r="20" customFormat="false" ht="15" hidden="false" customHeight="false" outlineLevel="0" collapsed="false">
      <c r="A20" s="2" t="s">
        <v>69</v>
      </c>
      <c r="B20" s="2" t="s">
        <v>65</v>
      </c>
      <c r="C20" s="3" t="str">
        <f aca="false">INDEX(Pesos_Dimensiones!$B$2:$B$21,MATCH(B20,Pesos_Dimensiones!$A$2:$A$21,0))</f>
        <v>Nucleo</v>
      </c>
      <c r="D20" s="2" t="s">
        <v>70</v>
      </c>
      <c r="E20" s="2" t="s">
        <v>20</v>
      </c>
      <c r="F20" s="2" t="n">
        <v>0</v>
      </c>
      <c r="G20" s="2" t="n">
        <v>4</v>
      </c>
      <c r="H20" s="2" t="s">
        <v>21</v>
      </c>
      <c r="I20" s="4" t="n">
        <v>0</v>
      </c>
      <c r="J20" s="2" t="n">
        <f aca="false">IF(H20="Inverso",G20-I20,I20)</f>
        <v>0</v>
      </c>
      <c r="K20" s="2" t="n">
        <f aca="false">IFERROR(J20/G20,0)</f>
        <v>0</v>
      </c>
      <c r="L20" s="2" t="s">
        <v>29</v>
      </c>
      <c r="M20" s="2" t="s">
        <v>30</v>
      </c>
      <c r="N20" s="5" t="n">
        <f aca="false">INDEX(Pesos_Dimensiones!$C$2:$C$21,MATCH(B20,Pesos_Dimensiones!$A$2:$A$21,0))</f>
        <v>0.0833333333333333</v>
      </c>
      <c r="O20" s="2" t="n">
        <f aca="false">1/COUNTIF($B$2:$B$81,B20)</f>
        <v>0.25</v>
      </c>
      <c r="P20" s="2" t="n">
        <f aca="false">IF(C20="Nucleo",N20*O20,0)</f>
        <v>0.0208333333333333</v>
      </c>
      <c r="Q20" s="2" t="n">
        <f aca="false">K20*P20</f>
        <v>0</v>
      </c>
    </row>
    <row r="21" customFormat="false" ht="15" hidden="false" customHeight="false" outlineLevel="0" collapsed="false">
      <c r="A21" s="2" t="s">
        <v>71</v>
      </c>
      <c r="B21" s="2" t="s">
        <v>65</v>
      </c>
      <c r="C21" s="3" t="str">
        <f aca="false">INDEX(Pesos_Dimensiones!$B$2:$B$21,MATCH(B21,Pesos_Dimensiones!$A$2:$A$21,0))</f>
        <v>Nucleo</v>
      </c>
      <c r="D21" s="2" t="s">
        <v>72</v>
      </c>
      <c r="E21" s="2" t="s">
        <v>33</v>
      </c>
      <c r="F21" s="2" t="n">
        <v>0</v>
      </c>
      <c r="G21" s="2" t="n">
        <v>3</v>
      </c>
      <c r="H21" s="2" t="s">
        <v>34</v>
      </c>
      <c r="I21" s="4" t="n">
        <v>0</v>
      </c>
      <c r="J21" s="2" t="n">
        <f aca="false">IF(H21="Inverso",G21-I21,I21)</f>
        <v>3</v>
      </c>
      <c r="K21" s="2" t="n">
        <f aca="false">IFERROR(J21/G21,0)</f>
        <v>1</v>
      </c>
      <c r="L21" s="2" t="s">
        <v>29</v>
      </c>
      <c r="M21" s="2" t="s">
        <v>30</v>
      </c>
      <c r="N21" s="5" t="n">
        <f aca="false">INDEX(Pesos_Dimensiones!$C$2:$C$21,MATCH(B21,Pesos_Dimensiones!$A$2:$A$21,0))</f>
        <v>0.0833333333333333</v>
      </c>
      <c r="O21" s="2" t="n">
        <f aca="false">1/COUNTIF($B$2:$B$81,B21)</f>
        <v>0.25</v>
      </c>
      <c r="P21" s="2" t="n">
        <f aca="false">IF(C21="Nucleo",N21*O21,0)</f>
        <v>0.0208333333333333</v>
      </c>
      <c r="Q21" s="2" t="n">
        <f aca="false">K21*P21</f>
        <v>0.0208333333333333</v>
      </c>
    </row>
    <row r="22" customFormat="false" ht="15" hidden="false" customHeight="false" outlineLevel="0" collapsed="false">
      <c r="A22" s="2" t="s">
        <v>73</v>
      </c>
      <c r="B22" s="2" t="s">
        <v>74</v>
      </c>
      <c r="C22" s="3" t="str">
        <f aca="false">INDEX(Pesos_Dimensiones!$B$2:$B$21,MATCH(B22,Pesos_Dimensiones!$A$2:$A$21,0))</f>
        <v>Nucleo</v>
      </c>
      <c r="D22" s="2" t="s">
        <v>75</v>
      </c>
      <c r="E22" s="2" t="s">
        <v>25</v>
      </c>
      <c r="F22" s="2" t="n">
        <v>0</v>
      </c>
      <c r="G22" s="2" t="n">
        <v>3</v>
      </c>
      <c r="H22" s="2" t="s">
        <v>21</v>
      </c>
      <c r="I22" s="4" t="n">
        <v>0</v>
      </c>
      <c r="J22" s="2" t="n">
        <f aca="false">IF(H22="Inverso",G22-I22,I22)</f>
        <v>0</v>
      </c>
      <c r="K22" s="2" t="n">
        <f aca="false">IFERROR(J22/G22,0)</f>
        <v>0</v>
      </c>
      <c r="L22" s="2" t="s">
        <v>76</v>
      </c>
      <c r="M22" s="2" t="s">
        <v>23</v>
      </c>
      <c r="N22" s="5" t="n">
        <f aca="false">INDEX(Pesos_Dimensiones!$C$2:$C$21,MATCH(B22,Pesos_Dimensiones!$A$2:$A$21,0))</f>
        <v>0.0833333333333333</v>
      </c>
      <c r="O22" s="2" t="n">
        <f aca="false">1/COUNTIF($B$2:$B$81,B22)</f>
        <v>0.25</v>
      </c>
      <c r="P22" s="2" t="n">
        <f aca="false">IF(C22="Nucleo",N22*O22,0)</f>
        <v>0.0208333333333333</v>
      </c>
      <c r="Q22" s="2" t="n">
        <f aca="false">K22*P22</f>
        <v>0</v>
      </c>
    </row>
    <row r="23" customFormat="false" ht="15" hidden="false" customHeight="false" outlineLevel="0" collapsed="false">
      <c r="A23" s="2" t="s">
        <v>76</v>
      </c>
      <c r="B23" s="2" t="s">
        <v>74</v>
      </c>
      <c r="C23" s="3" t="str">
        <f aca="false">INDEX(Pesos_Dimensiones!$B$2:$B$21,MATCH(B23,Pesos_Dimensiones!$A$2:$A$21,0))</f>
        <v>Nucleo</v>
      </c>
      <c r="D23" s="2" t="s">
        <v>77</v>
      </c>
      <c r="E23" s="2" t="s">
        <v>54</v>
      </c>
      <c r="F23" s="2" t="n">
        <v>0</v>
      </c>
      <c r="G23" s="2" t="n">
        <v>3</v>
      </c>
      <c r="H23" s="2" t="s">
        <v>34</v>
      </c>
      <c r="I23" s="4" t="n">
        <v>0</v>
      </c>
      <c r="J23" s="2" t="n">
        <f aca="false">IF(H23="Inverso",G23-I23,I23)</f>
        <v>3</v>
      </c>
      <c r="K23" s="2" t="n">
        <f aca="false">IFERROR(J23/G23,0)</f>
        <v>1</v>
      </c>
      <c r="L23" s="2" t="s">
        <v>73</v>
      </c>
      <c r="M23" s="2" t="s">
        <v>23</v>
      </c>
      <c r="N23" s="5" t="n">
        <f aca="false">INDEX(Pesos_Dimensiones!$C$2:$C$21,MATCH(B23,Pesos_Dimensiones!$A$2:$A$21,0))</f>
        <v>0.0833333333333333</v>
      </c>
      <c r="O23" s="2" t="n">
        <f aca="false">1/COUNTIF($B$2:$B$81,B23)</f>
        <v>0.25</v>
      </c>
      <c r="P23" s="2" t="n">
        <f aca="false">IF(C23="Nucleo",N23*O23,0)</f>
        <v>0.0208333333333333</v>
      </c>
      <c r="Q23" s="2" t="n">
        <f aca="false">K23*P23</f>
        <v>0.0208333333333333</v>
      </c>
    </row>
    <row r="24" customFormat="false" ht="15" hidden="false" customHeight="false" outlineLevel="0" collapsed="false">
      <c r="A24" s="2" t="s">
        <v>78</v>
      </c>
      <c r="B24" s="2" t="s">
        <v>74</v>
      </c>
      <c r="C24" s="3" t="str">
        <f aca="false">INDEX(Pesos_Dimensiones!$B$2:$B$21,MATCH(B24,Pesos_Dimensiones!$A$2:$A$21,0))</f>
        <v>Nucleo</v>
      </c>
      <c r="D24" s="2" t="s">
        <v>79</v>
      </c>
      <c r="E24" s="2" t="s">
        <v>28</v>
      </c>
      <c r="F24" s="2" t="n">
        <v>0</v>
      </c>
      <c r="G24" s="2" t="n">
        <v>3</v>
      </c>
      <c r="H24" s="2" t="s">
        <v>21</v>
      </c>
      <c r="I24" s="4" t="n">
        <v>0</v>
      </c>
      <c r="J24" s="2" t="n">
        <f aca="false">IF(H24="Inverso",G24-I24,I24)</f>
        <v>0</v>
      </c>
      <c r="K24" s="2" t="n">
        <f aca="false">IFERROR(J24/G24,0)</f>
        <v>0</v>
      </c>
      <c r="L24" s="2" t="s">
        <v>29</v>
      </c>
      <c r="M24" s="2" t="s">
        <v>30</v>
      </c>
      <c r="N24" s="5" t="n">
        <f aca="false">INDEX(Pesos_Dimensiones!$C$2:$C$21,MATCH(B24,Pesos_Dimensiones!$A$2:$A$21,0))</f>
        <v>0.0833333333333333</v>
      </c>
      <c r="O24" s="2" t="n">
        <f aca="false">1/COUNTIF($B$2:$B$81,B24)</f>
        <v>0.25</v>
      </c>
      <c r="P24" s="2" t="n">
        <f aca="false">IF(C24="Nucleo",N24*O24,0)</f>
        <v>0.0208333333333333</v>
      </c>
      <c r="Q24" s="2" t="n">
        <f aca="false">K24*P24</f>
        <v>0</v>
      </c>
    </row>
    <row r="25" customFormat="false" ht="15" hidden="false" customHeight="false" outlineLevel="0" collapsed="false">
      <c r="A25" s="2" t="s">
        <v>80</v>
      </c>
      <c r="B25" s="2" t="s">
        <v>74</v>
      </c>
      <c r="C25" s="3" t="str">
        <f aca="false">INDEX(Pesos_Dimensiones!$B$2:$B$21,MATCH(B25,Pesos_Dimensiones!$A$2:$A$21,0))</f>
        <v>Nucleo</v>
      </c>
      <c r="D25" s="2" t="s">
        <v>81</v>
      </c>
      <c r="E25" s="2" t="s">
        <v>20</v>
      </c>
      <c r="F25" s="2" t="n">
        <v>0</v>
      </c>
      <c r="G25" s="2" t="n">
        <v>4</v>
      </c>
      <c r="H25" s="2" t="s">
        <v>21</v>
      </c>
      <c r="I25" s="4" t="n">
        <v>0</v>
      </c>
      <c r="J25" s="2" t="n">
        <f aca="false">IF(H25="Inverso",G25-I25,I25)</f>
        <v>0</v>
      </c>
      <c r="K25" s="2" t="n">
        <f aca="false">IFERROR(J25/G25,0)</f>
        <v>0</v>
      </c>
      <c r="L25" s="2" t="s">
        <v>29</v>
      </c>
      <c r="M25" s="2" t="s">
        <v>30</v>
      </c>
      <c r="N25" s="5" t="n">
        <f aca="false">INDEX(Pesos_Dimensiones!$C$2:$C$21,MATCH(B25,Pesos_Dimensiones!$A$2:$A$21,0))</f>
        <v>0.0833333333333333</v>
      </c>
      <c r="O25" s="2" t="n">
        <f aca="false">1/COUNTIF($B$2:$B$81,B25)</f>
        <v>0.25</v>
      </c>
      <c r="P25" s="2" t="n">
        <f aca="false">IF(C25="Nucleo",N25*O25,0)</f>
        <v>0.0208333333333333</v>
      </c>
      <c r="Q25" s="2" t="n">
        <f aca="false">K25*P25</f>
        <v>0</v>
      </c>
    </row>
    <row r="26" customFormat="false" ht="15" hidden="false" customHeight="false" outlineLevel="0" collapsed="false">
      <c r="A26" s="2" t="s">
        <v>82</v>
      </c>
      <c r="B26" s="2" t="s">
        <v>83</v>
      </c>
      <c r="C26" s="3" t="str">
        <f aca="false">INDEX(Pesos_Dimensiones!$B$2:$B$21,MATCH(B26,Pesos_Dimensiones!$A$2:$A$21,0))</f>
        <v>Nucleo</v>
      </c>
      <c r="D26" s="2" t="s">
        <v>84</v>
      </c>
      <c r="E26" s="2" t="s">
        <v>20</v>
      </c>
      <c r="F26" s="2" t="n">
        <v>0</v>
      </c>
      <c r="G26" s="2" t="n">
        <v>4</v>
      </c>
      <c r="H26" s="2" t="s">
        <v>21</v>
      </c>
      <c r="I26" s="4" t="n">
        <v>0</v>
      </c>
      <c r="J26" s="2" t="n">
        <f aca="false">IF(H26="Inverso",G26-I26,I26)</f>
        <v>0</v>
      </c>
      <c r="K26" s="2" t="n">
        <f aca="false">IFERROR(J26/G26,0)</f>
        <v>0</v>
      </c>
      <c r="L26" s="2" t="s">
        <v>85</v>
      </c>
      <c r="M26" s="2" t="s">
        <v>23</v>
      </c>
      <c r="N26" s="5" t="n">
        <f aca="false">INDEX(Pesos_Dimensiones!$C$2:$C$21,MATCH(B26,Pesos_Dimensiones!$A$2:$A$21,0))</f>
        <v>0.0833333333333333</v>
      </c>
      <c r="O26" s="2" t="n">
        <f aca="false">1/COUNTIF($B$2:$B$81,B26)</f>
        <v>0.25</v>
      </c>
      <c r="P26" s="2" t="n">
        <f aca="false">IF(C26="Nucleo",N26*O26,0)</f>
        <v>0.0208333333333333</v>
      </c>
      <c r="Q26" s="2" t="n">
        <f aca="false">K26*P26</f>
        <v>0</v>
      </c>
    </row>
    <row r="27" customFormat="false" ht="15" hidden="false" customHeight="false" outlineLevel="0" collapsed="false">
      <c r="A27" s="2" t="s">
        <v>85</v>
      </c>
      <c r="B27" s="2" t="s">
        <v>83</v>
      </c>
      <c r="C27" s="3" t="str">
        <f aca="false">INDEX(Pesos_Dimensiones!$B$2:$B$21,MATCH(B27,Pesos_Dimensiones!$A$2:$A$21,0))</f>
        <v>Nucleo</v>
      </c>
      <c r="D27" s="2" t="s">
        <v>86</v>
      </c>
      <c r="E27" s="2" t="s">
        <v>33</v>
      </c>
      <c r="F27" s="2" t="n">
        <v>0</v>
      </c>
      <c r="G27" s="2" t="n">
        <v>3</v>
      </c>
      <c r="H27" s="2" t="s">
        <v>21</v>
      </c>
      <c r="I27" s="4" t="n">
        <v>0</v>
      </c>
      <c r="J27" s="2" t="n">
        <f aca="false">IF(H27="Inverso",G27-I27,I27)</f>
        <v>0</v>
      </c>
      <c r="K27" s="2" t="n">
        <f aca="false">IFERROR(J27/G27,0)</f>
        <v>0</v>
      </c>
      <c r="L27" s="2" t="s">
        <v>82</v>
      </c>
      <c r="M27" s="2" t="s">
        <v>23</v>
      </c>
      <c r="N27" s="5" t="n">
        <f aca="false">INDEX(Pesos_Dimensiones!$C$2:$C$21,MATCH(B27,Pesos_Dimensiones!$A$2:$A$21,0))</f>
        <v>0.0833333333333333</v>
      </c>
      <c r="O27" s="2" t="n">
        <f aca="false">1/COUNTIF($B$2:$B$81,B27)</f>
        <v>0.25</v>
      </c>
      <c r="P27" s="2" t="n">
        <f aca="false">IF(C27="Nucleo",N27*O27,0)</f>
        <v>0.0208333333333333</v>
      </c>
      <c r="Q27" s="2" t="n">
        <f aca="false">K27*P27</f>
        <v>0</v>
      </c>
    </row>
    <row r="28" customFormat="false" ht="15" hidden="false" customHeight="false" outlineLevel="0" collapsed="false">
      <c r="A28" s="2" t="s">
        <v>87</v>
      </c>
      <c r="B28" s="2" t="s">
        <v>83</v>
      </c>
      <c r="C28" s="3" t="str">
        <f aca="false">INDEX(Pesos_Dimensiones!$B$2:$B$21,MATCH(B28,Pesos_Dimensiones!$A$2:$A$21,0))</f>
        <v>Nucleo</v>
      </c>
      <c r="D28" s="2" t="s">
        <v>88</v>
      </c>
      <c r="E28" s="2" t="s">
        <v>20</v>
      </c>
      <c r="F28" s="2" t="n">
        <v>0</v>
      </c>
      <c r="G28" s="2" t="n">
        <v>4</v>
      </c>
      <c r="H28" s="2" t="s">
        <v>21</v>
      </c>
      <c r="I28" s="4" t="n">
        <v>0</v>
      </c>
      <c r="J28" s="2" t="n">
        <f aca="false">IF(H28="Inverso",G28-I28,I28)</f>
        <v>0</v>
      </c>
      <c r="K28" s="2" t="n">
        <f aca="false">IFERROR(J28/G28,0)</f>
        <v>0</v>
      </c>
      <c r="L28" s="2" t="s">
        <v>29</v>
      </c>
      <c r="M28" s="2" t="s">
        <v>30</v>
      </c>
      <c r="N28" s="5" t="n">
        <f aca="false">INDEX(Pesos_Dimensiones!$C$2:$C$21,MATCH(B28,Pesos_Dimensiones!$A$2:$A$21,0))</f>
        <v>0.0833333333333333</v>
      </c>
      <c r="O28" s="2" t="n">
        <f aca="false">1/COUNTIF($B$2:$B$81,B28)</f>
        <v>0.25</v>
      </c>
      <c r="P28" s="2" t="n">
        <f aca="false">IF(C28="Nucleo",N28*O28,0)</f>
        <v>0.0208333333333333</v>
      </c>
      <c r="Q28" s="2" t="n">
        <f aca="false">K28*P28</f>
        <v>0</v>
      </c>
    </row>
    <row r="29" customFormat="false" ht="15" hidden="false" customHeight="false" outlineLevel="0" collapsed="false">
      <c r="A29" s="2" t="s">
        <v>89</v>
      </c>
      <c r="B29" s="2" t="s">
        <v>83</v>
      </c>
      <c r="C29" s="3" t="str">
        <f aca="false">INDEX(Pesos_Dimensiones!$B$2:$B$21,MATCH(B29,Pesos_Dimensiones!$A$2:$A$21,0))</f>
        <v>Nucleo</v>
      </c>
      <c r="D29" s="2" t="s">
        <v>90</v>
      </c>
      <c r="E29" s="2" t="s">
        <v>25</v>
      </c>
      <c r="F29" s="2" t="n">
        <v>0</v>
      </c>
      <c r="G29" s="2" t="n">
        <v>3</v>
      </c>
      <c r="H29" s="2" t="s">
        <v>21</v>
      </c>
      <c r="I29" s="4" t="n">
        <v>0</v>
      </c>
      <c r="J29" s="2" t="n">
        <f aca="false">IF(H29="Inverso",G29-I29,I29)</f>
        <v>0</v>
      </c>
      <c r="K29" s="2" t="n">
        <f aca="false">IFERROR(J29/G29,0)</f>
        <v>0</v>
      </c>
      <c r="L29" s="2" t="s">
        <v>29</v>
      </c>
      <c r="M29" s="2" t="s">
        <v>30</v>
      </c>
      <c r="N29" s="5" t="n">
        <f aca="false">INDEX(Pesos_Dimensiones!$C$2:$C$21,MATCH(B29,Pesos_Dimensiones!$A$2:$A$21,0))</f>
        <v>0.0833333333333333</v>
      </c>
      <c r="O29" s="2" t="n">
        <f aca="false">1/COUNTIF($B$2:$B$81,B29)</f>
        <v>0.25</v>
      </c>
      <c r="P29" s="2" t="n">
        <f aca="false">IF(C29="Nucleo",N29*O29,0)</f>
        <v>0.0208333333333333</v>
      </c>
      <c r="Q29" s="2" t="n">
        <f aca="false">K29*P29</f>
        <v>0</v>
      </c>
    </row>
    <row r="30" customFormat="false" ht="15" hidden="false" customHeight="false" outlineLevel="0" collapsed="false">
      <c r="A30" s="2" t="s">
        <v>91</v>
      </c>
      <c r="B30" s="2" t="s">
        <v>92</v>
      </c>
      <c r="C30" s="3" t="str">
        <f aca="false">INDEX(Pesos_Dimensiones!$B$2:$B$21,MATCH(B30,Pesos_Dimensiones!$A$2:$A$21,0))</f>
        <v>Nucleo</v>
      </c>
      <c r="D30" s="2" t="s">
        <v>93</v>
      </c>
      <c r="E30" s="2" t="s">
        <v>25</v>
      </c>
      <c r="F30" s="2" t="n">
        <v>0</v>
      </c>
      <c r="G30" s="2" t="n">
        <v>3</v>
      </c>
      <c r="H30" s="2" t="s">
        <v>21</v>
      </c>
      <c r="I30" s="4" t="n">
        <v>0</v>
      </c>
      <c r="J30" s="2" t="n">
        <f aca="false">IF(H30="Inverso",G30-I30,I30)</f>
        <v>0</v>
      </c>
      <c r="K30" s="2" t="n">
        <f aca="false">IFERROR(J30/G30,0)</f>
        <v>0</v>
      </c>
      <c r="L30" s="2" t="s">
        <v>94</v>
      </c>
      <c r="M30" s="2" t="s">
        <v>23</v>
      </c>
      <c r="N30" s="5" t="n">
        <f aca="false">INDEX(Pesos_Dimensiones!$C$2:$C$21,MATCH(B30,Pesos_Dimensiones!$A$2:$A$21,0))</f>
        <v>0.0833333333333333</v>
      </c>
      <c r="O30" s="2" t="n">
        <f aca="false">1/COUNTIF($B$2:$B$81,B30)</f>
        <v>0.25</v>
      </c>
      <c r="P30" s="2" t="n">
        <f aca="false">IF(C30="Nucleo",N30*O30,0)</f>
        <v>0.0208333333333333</v>
      </c>
      <c r="Q30" s="2" t="n">
        <f aca="false">K30*P30</f>
        <v>0</v>
      </c>
    </row>
    <row r="31" customFormat="false" ht="15" hidden="false" customHeight="false" outlineLevel="0" collapsed="false">
      <c r="A31" s="2" t="s">
        <v>94</v>
      </c>
      <c r="B31" s="2" t="s">
        <v>92</v>
      </c>
      <c r="C31" s="3" t="str">
        <f aca="false">INDEX(Pesos_Dimensiones!$B$2:$B$21,MATCH(B31,Pesos_Dimensiones!$A$2:$A$21,0))</f>
        <v>Nucleo</v>
      </c>
      <c r="D31" s="2" t="s">
        <v>95</v>
      </c>
      <c r="E31" s="2" t="s">
        <v>40</v>
      </c>
      <c r="F31" s="2" t="n">
        <v>0</v>
      </c>
      <c r="G31" s="2" t="n">
        <v>3</v>
      </c>
      <c r="H31" s="2" t="s">
        <v>34</v>
      </c>
      <c r="I31" s="4" t="n">
        <v>0</v>
      </c>
      <c r="J31" s="2" t="n">
        <f aca="false">IF(H31="Inverso",G31-I31,I31)</f>
        <v>3</v>
      </c>
      <c r="K31" s="2" t="n">
        <f aca="false">IFERROR(J31/G31,0)</f>
        <v>1</v>
      </c>
      <c r="L31" s="2" t="s">
        <v>91</v>
      </c>
      <c r="M31" s="2" t="s">
        <v>23</v>
      </c>
      <c r="N31" s="5" t="n">
        <f aca="false">INDEX(Pesos_Dimensiones!$C$2:$C$21,MATCH(B31,Pesos_Dimensiones!$A$2:$A$21,0))</f>
        <v>0.0833333333333333</v>
      </c>
      <c r="O31" s="2" t="n">
        <f aca="false">1/COUNTIF($B$2:$B$81,B31)</f>
        <v>0.25</v>
      </c>
      <c r="P31" s="2" t="n">
        <f aca="false">IF(C31="Nucleo",N31*O31,0)</f>
        <v>0.0208333333333333</v>
      </c>
      <c r="Q31" s="2" t="n">
        <f aca="false">K31*P31</f>
        <v>0.0208333333333333</v>
      </c>
    </row>
    <row r="32" customFormat="false" ht="15" hidden="false" customHeight="false" outlineLevel="0" collapsed="false">
      <c r="A32" s="2" t="s">
        <v>96</v>
      </c>
      <c r="B32" s="2" t="s">
        <v>92</v>
      </c>
      <c r="C32" s="3" t="str">
        <f aca="false">INDEX(Pesos_Dimensiones!$B$2:$B$21,MATCH(B32,Pesos_Dimensiones!$A$2:$A$21,0))</f>
        <v>Nucleo</v>
      </c>
      <c r="D32" s="2" t="s">
        <v>97</v>
      </c>
      <c r="E32" s="2" t="s">
        <v>25</v>
      </c>
      <c r="F32" s="2" t="n">
        <v>0</v>
      </c>
      <c r="G32" s="2" t="n">
        <v>3</v>
      </c>
      <c r="H32" s="2" t="s">
        <v>21</v>
      </c>
      <c r="I32" s="4" t="n">
        <v>0</v>
      </c>
      <c r="J32" s="2" t="n">
        <f aca="false">IF(H32="Inverso",G32-I32,I32)</f>
        <v>0</v>
      </c>
      <c r="K32" s="2" t="n">
        <f aca="false">IFERROR(J32/G32,0)</f>
        <v>0</v>
      </c>
      <c r="L32" s="2" t="s">
        <v>29</v>
      </c>
      <c r="M32" s="2" t="s">
        <v>30</v>
      </c>
      <c r="N32" s="5" t="n">
        <f aca="false">INDEX(Pesos_Dimensiones!$C$2:$C$21,MATCH(B32,Pesos_Dimensiones!$A$2:$A$21,0))</f>
        <v>0.0833333333333333</v>
      </c>
      <c r="O32" s="2" t="n">
        <f aca="false">1/COUNTIF($B$2:$B$81,B32)</f>
        <v>0.25</v>
      </c>
      <c r="P32" s="2" t="n">
        <f aca="false">IF(C32="Nucleo",N32*O32,0)</f>
        <v>0.0208333333333333</v>
      </c>
      <c r="Q32" s="2" t="n">
        <f aca="false">K32*P32</f>
        <v>0</v>
      </c>
    </row>
    <row r="33" customFormat="false" ht="15" hidden="false" customHeight="false" outlineLevel="0" collapsed="false">
      <c r="A33" s="2" t="s">
        <v>98</v>
      </c>
      <c r="B33" s="2" t="s">
        <v>92</v>
      </c>
      <c r="C33" s="3" t="str">
        <f aca="false">INDEX(Pesos_Dimensiones!$B$2:$B$21,MATCH(B33,Pesos_Dimensiones!$A$2:$A$21,0))</f>
        <v>Nucleo</v>
      </c>
      <c r="D33" s="2" t="s">
        <v>99</v>
      </c>
      <c r="E33" s="2" t="s">
        <v>28</v>
      </c>
      <c r="F33" s="2" t="n">
        <v>0</v>
      </c>
      <c r="G33" s="2" t="n">
        <v>3</v>
      </c>
      <c r="H33" s="2" t="s">
        <v>21</v>
      </c>
      <c r="I33" s="4" t="n">
        <v>0</v>
      </c>
      <c r="J33" s="2" t="n">
        <f aca="false">IF(H33="Inverso",G33-I33,I33)</f>
        <v>0</v>
      </c>
      <c r="K33" s="2" t="n">
        <f aca="false">IFERROR(J33/G33,0)</f>
        <v>0</v>
      </c>
      <c r="L33" s="2" t="s">
        <v>29</v>
      </c>
      <c r="M33" s="2" t="s">
        <v>30</v>
      </c>
      <c r="N33" s="5" t="n">
        <f aca="false">INDEX(Pesos_Dimensiones!$C$2:$C$21,MATCH(B33,Pesos_Dimensiones!$A$2:$A$21,0))</f>
        <v>0.0833333333333333</v>
      </c>
      <c r="O33" s="2" t="n">
        <f aca="false">1/COUNTIF($B$2:$B$81,B33)</f>
        <v>0.25</v>
      </c>
      <c r="P33" s="2" t="n">
        <f aca="false">IF(C33="Nucleo",N33*O33,0)</f>
        <v>0.0208333333333333</v>
      </c>
      <c r="Q33" s="2" t="n">
        <f aca="false">K33*P33</f>
        <v>0</v>
      </c>
    </row>
    <row r="34" customFormat="false" ht="15" hidden="false" customHeight="false" outlineLevel="0" collapsed="false">
      <c r="A34" s="2" t="s">
        <v>100</v>
      </c>
      <c r="B34" s="2" t="s">
        <v>101</v>
      </c>
      <c r="C34" s="3" t="str">
        <f aca="false">INDEX(Pesos_Dimensiones!$B$2:$B$21,MATCH(B34,Pesos_Dimensiones!$A$2:$A$21,0))</f>
        <v>Nucleo</v>
      </c>
      <c r="D34" s="2" t="s">
        <v>102</v>
      </c>
      <c r="E34" s="2" t="s">
        <v>33</v>
      </c>
      <c r="F34" s="2" t="n">
        <v>0</v>
      </c>
      <c r="G34" s="2" t="n">
        <v>3</v>
      </c>
      <c r="H34" s="2" t="s">
        <v>21</v>
      </c>
      <c r="I34" s="4" t="n">
        <v>0</v>
      </c>
      <c r="J34" s="2" t="n">
        <f aca="false">IF(H34="Inverso",G34-I34,I34)</f>
        <v>0</v>
      </c>
      <c r="K34" s="2" t="n">
        <f aca="false">IFERROR(J34/G34,0)</f>
        <v>0</v>
      </c>
      <c r="L34" s="2" t="s">
        <v>103</v>
      </c>
      <c r="M34" s="2" t="s">
        <v>23</v>
      </c>
      <c r="N34" s="5" t="n">
        <f aca="false">INDEX(Pesos_Dimensiones!$C$2:$C$21,MATCH(B34,Pesos_Dimensiones!$A$2:$A$21,0))</f>
        <v>0.0833333333333333</v>
      </c>
      <c r="O34" s="2" t="n">
        <f aca="false">1/COUNTIF($B$2:$B$81,B34)</f>
        <v>0.25</v>
      </c>
      <c r="P34" s="2" t="n">
        <f aca="false">IF(C34="Nucleo",N34*O34,0)</f>
        <v>0.0208333333333333</v>
      </c>
      <c r="Q34" s="2" t="n">
        <f aca="false">K34*P34</f>
        <v>0</v>
      </c>
    </row>
    <row r="35" customFormat="false" ht="15" hidden="false" customHeight="false" outlineLevel="0" collapsed="false">
      <c r="A35" s="2" t="s">
        <v>103</v>
      </c>
      <c r="B35" s="2" t="s">
        <v>101</v>
      </c>
      <c r="C35" s="3" t="str">
        <f aca="false">INDEX(Pesos_Dimensiones!$B$2:$B$21,MATCH(B35,Pesos_Dimensiones!$A$2:$A$21,0))</f>
        <v>Nucleo</v>
      </c>
      <c r="D35" s="2" t="s">
        <v>104</v>
      </c>
      <c r="E35" s="2" t="s">
        <v>25</v>
      </c>
      <c r="F35" s="2" t="n">
        <v>0</v>
      </c>
      <c r="G35" s="2" t="n">
        <v>3</v>
      </c>
      <c r="H35" s="2" t="s">
        <v>21</v>
      </c>
      <c r="I35" s="4" t="n">
        <v>0</v>
      </c>
      <c r="J35" s="2" t="n">
        <f aca="false">IF(H35="Inverso",G35-I35,I35)</f>
        <v>0</v>
      </c>
      <c r="K35" s="2" t="n">
        <f aca="false">IFERROR(J35/G35,0)</f>
        <v>0</v>
      </c>
      <c r="L35" s="2" t="s">
        <v>100</v>
      </c>
      <c r="M35" s="2" t="s">
        <v>23</v>
      </c>
      <c r="N35" s="5" t="n">
        <f aca="false">INDEX(Pesos_Dimensiones!$C$2:$C$21,MATCH(B35,Pesos_Dimensiones!$A$2:$A$21,0))</f>
        <v>0.0833333333333333</v>
      </c>
      <c r="O35" s="2" t="n">
        <f aca="false">1/COUNTIF($B$2:$B$81,B35)</f>
        <v>0.25</v>
      </c>
      <c r="P35" s="2" t="n">
        <f aca="false">IF(C35="Nucleo",N35*O35,0)</f>
        <v>0.0208333333333333</v>
      </c>
      <c r="Q35" s="2" t="n">
        <f aca="false">K35*P35</f>
        <v>0</v>
      </c>
    </row>
    <row r="36" customFormat="false" ht="15" hidden="false" customHeight="false" outlineLevel="0" collapsed="false">
      <c r="A36" s="2" t="s">
        <v>105</v>
      </c>
      <c r="B36" s="2" t="s">
        <v>101</v>
      </c>
      <c r="C36" s="3" t="str">
        <f aca="false">INDEX(Pesos_Dimensiones!$B$2:$B$21,MATCH(B36,Pesos_Dimensiones!$A$2:$A$21,0))</f>
        <v>Nucleo</v>
      </c>
      <c r="D36" s="2" t="s">
        <v>106</v>
      </c>
      <c r="E36" s="2" t="s">
        <v>28</v>
      </c>
      <c r="F36" s="2" t="n">
        <v>0</v>
      </c>
      <c r="G36" s="2" t="n">
        <v>3</v>
      </c>
      <c r="H36" s="2" t="s">
        <v>21</v>
      </c>
      <c r="I36" s="4" t="n">
        <v>0</v>
      </c>
      <c r="J36" s="2" t="n">
        <f aca="false">IF(H36="Inverso",G36-I36,I36)</f>
        <v>0</v>
      </c>
      <c r="K36" s="2" t="n">
        <f aca="false">IFERROR(J36/G36,0)</f>
        <v>0</v>
      </c>
      <c r="L36" s="2" t="s">
        <v>29</v>
      </c>
      <c r="M36" s="2" t="s">
        <v>30</v>
      </c>
      <c r="N36" s="5" t="n">
        <f aca="false">INDEX(Pesos_Dimensiones!$C$2:$C$21,MATCH(B36,Pesos_Dimensiones!$A$2:$A$21,0))</f>
        <v>0.0833333333333333</v>
      </c>
      <c r="O36" s="2" t="n">
        <f aca="false">1/COUNTIF($B$2:$B$81,B36)</f>
        <v>0.25</v>
      </c>
      <c r="P36" s="2" t="n">
        <f aca="false">IF(C36="Nucleo",N36*O36,0)</f>
        <v>0.0208333333333333</v>
      </c>
      <c r="Q36" s="2" t="n">
        <f aca="false">K36*P36</f>
        <v>0</v>
      </c>
    </row>
    <row r="37" customFormat="false" ht="15" hidden="false" customHeight="false" outlineLevel="0" collapsed="false">
      <c r="A37" s="2" t="s">
        <v>107</v>
      </c>
      <c r="B37" s="2" t="s">
        <v>101</v>
      </c>
      <c r="C37" s="3" t="str">
        <f aca="false">INDEX(Pesos_Dimensiones!$B$2:$B$21,MATCH(B37,Pesos_Dimensiones!$A$2:$A$21,0))</f>
        <v>Nucleo</v>
      </c>
      <c r="D37" s="2" t="s">
        <v>108</v>
      </c>
      <c r="E37" s="2" t="s">
        <v>20</v>
      </c>
      <c r="F37" s="2" t="n">
        <v>0</v>
      </c>
      <c r="G37" s="2" t="n">
        <v>4</v>
      </c>
      <c r="H37" s="2" t="s">
        <v>21</v>
      </c>
      <c r="I37" s="4" t="n">
        <v>0</v>
      </c>
      <c r="J37" s="2" t="n">
        <f aca="false">IF(H37="Inverso",G37-I37,I37)</f>
        <v>0</v>
      </c>
      <c r="K37" s="2" t="n">
        <f aca="false">IFERROR(J37/G37,0)</f>
        <v>0</v>
      </c>
      <c r="L37" s="2" t="s">
        <v>29</v>
      </c>
      <c r="M37" s="2" t="s">
        <v>30</v>
      </c>
      <c r="N37" s="5" t="n">
        <f aca="false">INDEX(Pesos_Dimensiones!$C$2:$C$21,MATCH(B37,Pesos_Dimensiones!$A$2:$A$21,0))</f>
        <v>0.0833333333333333</v>
      </c>
      <c r="O37" s="2" t="n">
        <f aca="false">1/COUNTIF($B$2:$B$81,B37)</f>
        <v>0.25</v>
      </c>
      <c r="P37" s="2" t="n">
        <f aca="false">IF(C37="Nucleo",N37*O37,0)</f>
        <v>0.0208333333333333</v>
      </c>
      <c r="Q37" s="2" t="n">
        <f aca="false">K37*P37</f>
        <v>0</v>
      </c>
    </row>
    <row r="38" customFormat="false" ht="15" hidden="false" customHeight="false" outlineLevel="0" collapsed="false">
      <c r="A38" s="2" t="s">
        <v>109</v>
      </c>
      <c r="B38" s="2" t="s">
        <v>110</v>
      </c>
      <c r="C38" s="3" t="str">
        <f aca="false">INDEX(Pesos_Dimensiones!$B$2:$B$21,MATCH(B38,Pesos_Dimensiones!$A$2:$A$21,0))</f>
        <v>Nucleo</v>
      </c>
      <c r="D38" s="2" t="s">
        <v>111</v>
      </c>
      <c r="E38" s="2" t="s">
        <v>20</v>
      </c>
      <c r="F38" s="2" t="n">
        <v>0</v>
      </c>
      <c r="G38" s="2" t="n">
        <v>4</v>
      </c>
      <c r="H38" s="2" t="s">
        <v>21</v>
      </c>
      <c r="I38" s="4" t="n">
        <v>0</v>
      </c>
      <c r="J38" s="2" t="n">
        <f aca="false">IF(H38="Inverso",G38-I38,I38)</f>
        <v>0</v>
      </c>
      <c r="K38" s="2" t="n">
        <f aca="false">IFERROR(J38/G38,0)</f>
        <v>0</v>
      </c>
      <c r="L38" s="2" t="s">
        <v>112</v>
      </c>
      <c r="M38" s="2" t="s">
        <v>23</v>
      </c>
      <c r="N38" s="5" t="n">
        <f aca="false">INDEX(Pesos_Dimensiones!$C$2:$C$21,MATCH(B38,Pesos_Dimensiones!$A$2:$A$21,0))</f>
        <v>0.0833333333333333</v>
      </c>
      <c r="O38" s="2" t="n">
        <f aca="false">1/COUNTIF($B$2:$B$81,B38)</f>
        <v>0.25</v>
      </c>
      <c r="P38" s="2" t="n">
        <f aca="false">IF(C38="Nucleo",N38*O38,0)</f>
        <v>0.0208333333333333</v>
      </c>
      <c r="Q38" s="2" t="n">
        <f aca="false">K38*P38</f>
        <v>0</v>
      </c>
    </row>
    <row r="39" customFormat="false" ht="15" hidden="false" customHeight="false" outlineLevel="0" collapsed="false">
      <c r="A39" s="2" t="s">
        <v>112</v>
      </c>
      <c r="B39" s="2" t="s">
        <v>110</v>
      </c>
      <c r="C39" s="3" t="str">
        <f aca="false">INDEX(Pesos_Dimensiones!$B$2:$B$21,MATCH(B39,Pesos_Dimensiones!$A$2:$A$21,0))</f>
        <v>Nucleo</v>
      </c>
      <c r="D39" s="2" t="s">
        <v>113</v>
      </c>
      <c r="E39" s="2" t="s">
        <v>40</v>
      </c>
      <c r="F39" s="2" t="n">
        <v>0</v>
      </c>
      <c r="G39" s="2" t="n">
        <v>3</v>
      </c>
      <c r="H39" s="2" t="s">
        <v>21</v>
      </c>
      <c r="I39" s="4" t="n">
        <v>0</v>
      </c>
      <c r="J39" s="2" t="n">
        <f aca="false">IF(H39="Inverso",G39-I39,I39)</f>
        <v>0</v>
      </c>
      <c r="K39" s="2" t="n">
        <f aca="false">IFERROR(J39/G39,0)</f>
        <v>0</v>
      </c>
      <c r="L39" s="2" t="s">
        <v>109</v>
      </c>
      <c r="M39" s="2" t="s">
        <v>23</v>
      </c>
      <c r="N39" s="5" t="n">
        <f aca="false">INDEX(Pesos_Dimensiones!$C$2:$C$21,MATCH(B39,Pesos_Dimensiones!$A$2:$A$21,0))</f>
        <v>0.0833333333333333</v>
      </c>
      <c r="O39" s="2" t="n">
        <f aca="false">1/COUNTIF($B$2:$B$81,B39)</f>
        <v>0.25</v>
      </c>
      <c r="P39" s="2" t="n">
        <f aca="false">IF(C39="Nucleo",N39*O39,0)</f>
        <v>0.0208333333333333</v>
      </c>
      <c r="Q39" s="2" t="n">
        <f aca="false">K39*P39</f>
        <v>0</v>
      </c>
    </row>
    <row r="40" customFormat="false" ht="15" hidden="false" customHeight="false" outlineLevel="0" collapsed="false">
      <c r="A40" s="2" t="s">
        <v>114</v>
      </c>
      <c r="B40" s="2" t="s">
        <v>110</v>
      </c>
      <c r="C40" s="3" t="str">
        <f aca="false">INDEX(Pesos_Dimensiones!$B$2:$B$21,MATCH(B40,Pesos_Dimensiones!$A$2:$A$21,0))</f>
        <v>Nucleo</v>
      </c>
      <c r="D40" s="2" t="s">
        <v>115</v>
      </c>
      <c r="E40" s="2" t="s">
        <v>20</v>
      </c>
      <c r="F40" s="2" t="n">
        <v>0</v>
      </c>
      <c r="G40" s="2" t="n">
        <v>4</v>
      </c>
      <c r="H40" s="2" t="s">
        <v>21</v>
      </c>
      <c r="I40" s="4" t="n">
        <v>0</v>
      </c>
      <c r="J40" s="2" t="n">
        <f aca="false">IF(H40="Inverso",G40-I40,I40)</f>
        <v>0</v>
      </c>
      <c r="K40" s="2" t="n">
        <f aca="false">IFERROR(J40/G40,0)</f>
        <v>0</v>
      </c>
      <c r="L40" s="2" t="s">
        <v>29</v>
      </c>
      <c r="M40" s="2" t="s">
        <v>30</v>
      </c>
      <c r="N40" s="5" t="n">
        <f aca="false">INDEX(Pesos_Dimensiones!$C$2:$C$21,MATCH(B40,Pesos_Dimensiones!$A$2:$A$21,0))</f>
        <v>0.0833333333333333</v>
      </c>
      <c r="O40" s="2" t="n">
        <f aca="false">1/COUNTIF($B$2:$B$81,B40)</f>
        <v>0.25</v>
      </c>
      <c r="P40" s="2" t="n">
        <f aca="false">IF(C40="Nucleo",N40*O40,0)</f>
        <v>0.0208333333333333</v>
      </c>
      <c r="Q40" s="2" t="n">
        <f aca="false">K40*P40</f>
        <v>0</v>
      </c>
    </row>
    <row r="41" customFormat="false" ht="15" hidden="false" customHeight="false" outlineLevel="0" collapsed="false">
      <c r="A41" s="2" t="s">
        <v>116</v>
      </c>
      <c r="B41" s="2" t="s">
        <v>110</v>
      </c>
      <c r="C41" s="3" t="str">
        <f aca="false">INDEX(Pesos_Dimensiones!$B$2:$B$21,MATCH(B41,Pesos_Dimensiones!$A$2:$A$21,0))</f>
        <v>Nucleo</v>
      </c>
      <c r="D41" s="2" t="s">
        <v>117</v>
      </c>
      <c r="E41" s="2" t="s">
        <v>118</v>
      </c>
      <c r="F41" s="2" t="n">
        <v>0</v>
      </c>
      <c r="G41" s="2" t="n">
        <v>3</v>
      </c>
      <c r="H41" s="2" t="s">
        <v>34</v>
      </c>
      <c r="I41" s="4" t="n">
        <v>0</v>
      </c>
      <c r="J41" s="2" t="n">
        <f aca="false">IF(H41="Inverso",G41-I41,I41)</f>
        <v>3</v>
      </c>
      <c r="K41" s="2" t="n">
        <f aca="false">IFERROR(J41/G41,0)</f>
        <v>1</v>
      </c>
      <c r="L41" s="2" t="s">
        <v>29</v>
      </c>
      <c r="M41" s="2" t="s">
        <v>30</v>
      </c>
      <c r="N41" s="5" t="n">
        <f aca="false">INDEX(Pesos_Dimensiones!$C$2:$C$21,MATCH(B41,Pesos_Dimensiones!$A$2:$A$21,0))</f>
        <v>0.0833333333333333</v>
      </c>
      <c r="O41" s="2" t="n">
        <f aca="false">1/COUNTIF($B$2:$B$81,B41)</f>
        <v>0.25</v>
      </c>
      <c r="P41" s="2" t="n">
        <f aca="false">IF(C41="Nucleo",N41*O41,0)</f>
        <v>0.0208333333333333</v>
      </c>
      <c r="Q41" s="2" t="n">
        <f aca="false">K41*P41</f>
        <v>0.0208333333333333</v>
      </c>
    </row>
    <row r="42" customFormat="false" ht="15" hidden="false" customHeight="false" outlineLevel="0" collapsed="false">
      <c r="A42" s="2" t="s">
        <v>119</v>
      </c>
      <c r="B42" s="2" t="s">
        <v>120</v>
      </c>
      <c r="C42" s="3" t="str">
        <f aca="false">INDEX(Pesos_Dimensiones!$B$2:$B$21,MATCH(B42,Pesos_Dimensiones!$A$2:$A$21,0))</f>
        <v>Contextual</v>
      </c>
      <c r="D42" s="2" t="s">
        <v>121</v>
      </c>
      <c r="E42" s="2" t="s">
        <v>25</v>
      </c>
      <c r="F42" s="2" t="n">
        <v>0</v>
      </c>
      <c r="G42" s="2" t="n">
        <v>3</v>
      </c>
      <c r="H42" s="2" t="s">
        <v>21</v>
      </c>
      <c r="I42" s="4" t="n">
        <v>0</v>
      </c>
      <c r="J42" s="2" t="n">
        <f aca="false">IF(H42="Inverso",G42-I42,I42)</f>
        <v>0</v>
      </c>
      <c r="K42" s="2" t="n">
        <f aca="false">IFERROR(J42/G42,0)</f>
        <v>0</v>
      </c>
      <c r="L42" s="2" t="s">
        <v>29</v>
      </c>
      <c r="M42" s="2" t="s">
        <v>30</v>
      </c>
      <c r="N42" s="3" t="n">
        <f aca="false">INDEX(Pesos_Dimensiones!$C$2:$C$21,MATCH(B42,Pesos_Dimensiones!$A$2:$A$21,0))</f>
        <v>0</v>
      </c>
      <c r="O42" s="2" t="n">
        <f aca="false">1/COUNTIF($B$2:$B$81,B42)</f>
        <v>0.25</v>
      </c>
      <c r="P42" s="2" t="n">
        <f aca="false">IF(C42="Nucleo",N42*O42,0)</f>
        <v>0</v>
      </c>
      <c r="Q42" s="2" t="n">
        <f aca="false">K42*P42</f>
        <v>0</v>
      </c>
    </row>
    <row r="43" customFormat="false" ht="15" hidden="false" customHeight="false" outlineLevel="0" collapsed="false">
      <c r="A43" s="2" t="s">
        <v>122</v>
      </c>
      <c r="B43" s="2" t="s">
        <v>120</v>
      </c>
      <c r="C43" s="3" t="str">
        <f aca="false">INDEX(Pesos_Dimensiones!$B$2:$B$21,MATCH(B43,Pesos_Dimensiones!$A$2:$A$21,0))</f>
        <v>Contextual</v>
      </c>
      <c r="D43" s="2" t="s">
        <v>123</v>
      </c>
      <c r="E43" s="2" t="s">
        <v>20</v>
      </c>
      <c r="F43" s="2" t="n">
        <v>0</v>
      </c>
      <c r="G43" s="2" t="n">
        <v>4</v>
      </c>
      <c r="H43" s="2" t="s">
        <v>21</v>
      </c>
      <c r="I43" s="4" t="n">
        <v>0</v>
      </c>
      <c r="J43" s="2" t="n">
        <f aca="false">IF(H43="Inverso",G43-I43,I43)</f>
        <v>0</v>
      </c>
      <c r="K43" s="2" t="n">
        <f aca="false">IFERROR(J43/G43,0)</f>
        <v>0</v>
      </c>
      <c r="L43" s="2" t="s">
        <v>29</v>
      </c>
      <c r="M43" s="2" t="s">
        <v>30</v>
      </c>
      <c r="N43" s="3" t="n">
        <f aca="false">INDEX(Pesos_Dimensiones!$C$2:$C$21,MATCH(B43,Pesos_Dimensiones!$A$2:$A$21,0))</f>
        <v>0</v>
      </c>
      <c r="O43" s="2" t="n">
        <f aca="false">1/COUNTIF($B$2:$B$81,B43)</f>
        <v>0.25</v>
      </c>
      <c r="P43" s="2" t="n">
        <f aca="false">IF(C43="Nucleo",N43*O43,0)</f>
        <v>0</v>
      </c>
      <c r="Q43" s="2" t="n">
        <f aca="false">K43*P43</f>
        <v>0</v>
      </c>
    </row>
    <row r="44" customFormat="false" ht="15" hidden="false" customHeight="false" outlineLevel="0" collapsed="false">
      <c r="A44" s="2" t="s">
        <v>124</v>
      </c>
      <c r="B44" s="2" t="s">
        <v>120</v>
      </c>
      <c r="C44" s="3" t="str">
        <f aca="false">INDEX(Pesos_Dimensiones!$B$2:$B$21,MATCH(B44,Pesos_Dimensiones!$A$2:$A$21,0))</f>
        <v>Contextual</v>
      </c>
      <c r="D44" s="2" t="s">
        <v>125</v>
      </c>
      <c r="E44" s="2" t="s">
        <v>126</v>
      </c>
      <c r="F44" s="2" t="n">
        <v>0</v>
      </c>
      <c r="G44" s="2" t="n">
        <v>4</v>
      </c>
      <c r="H44" s="2" t="s">
        <v>34</v>
      </c>
      <c r="I44" s="4" t="n">
        <v>0</v>
      </c>
      <c r="J44" s="2" t="n">
        <f aca="false">IF(H44="Inverso",G44-I44,I44)</f>
        <v>4</v>
      </c>
      <c r="K44" s="2" t="n">
        <f aca="false">IFERROR(J44/G44,0)</f>
        <v>1</v>
      </c>
      <c r="L44" s="2" t="s">
        <v>29</v>
      </c>
      <c r="M44" s="2" t="s">
        <v>30</v>
      </c>
      <c r="N44" s="3" t="n">
        <f aca="false">INDEX(Pesos_Dimensiones!$C$2:$C$21,MATCH(B44,Pesos_Dimensiones!$A$2:$A$21,0))</f>
        <v>0</v>
      </c>
      <c r="O44" s="2" t="n">
        <f aca="false">1/COUNTIF($B$2:$B$81,B44)</f>
        <v>0.25</v>
      </c>
      <c r="P44" s="2" t="n">
        <f aca="false">IF(C44="Nucleo",N44*O44,0)</f>
        <v>0</v>
      </c>
      <c r="Q44" s="2" t="n">
        <f aca="false">K44*P44</f>
        <v>0</v>
      </c>
    </row>
    <row r="45" customFormat="false" ht="15" hidden="false" customHeight="false" outlineLevel="0" collapsed="false">
      <c r="A45" s="2" t="s">
        <v>127</v>
      </c>
      <c r="B45" s="2" t="s">
        <v>120</v>
      </c>
      <c r="C45" s="3" t="str">
        <f aca="false">INDEX(Pesos_Dimensiones!$B$2:$B$21,MATCH(B45,Pesos_Dimensiones!$A$2:$A$21,0))</f>
        <v>Contextual</v>
      </c>
      <c r="D45" s="2" t="s">
        <v>128</v>
      </c>
      <c r="E45" s="2" t="s">
        <v>25</v>
      </c>
      <c r="F45" s="2" t="n">
        <v>0</v>
      </c>
      <c r="G45" s="2" t="n">
        <v>3</v>
      </c>
      <c r="H45" s="2" t="s">
        <v>21</v>
      </c>
      <c r="I45" s="4" t="n">
        <v>0</v>
      </c>
      <c r="J45" s="2" t="n">
        <f aca="false">IF(H45="Inverso",G45-I45,I45)</f>
        <v>0</v>
      </c>
      <c r="K45" s="2" t="n">
        <f aca="false">IFERROR(J45/G45,0)</f>
        <v>0</v>
      </c>
      <c r="L45" s="2" t="s">
        <v>29</v>
      </c>
      <c r="M45" s="2" t="s">
        <v>30</v>
      </c>
      <c r="N45" s="3" t="n">
        <f aca="false">INDEX(Pesos_Dimensiones!$C$2:$C$21,MATCH(B45,Pesos_Dimensiones!$A$2:$A$21,0))</f>
        <v>0</v>
      </c>
      <c r="O45" s="2" t="n">
        <f aca="false">1/COUNTIF($B$2:$B$81,B45)</f>
        <v>0.25</v>
      </c>
      <c r="P45" s="2" t="n">
        <f aca="false">IF(C45="Nucleo",N45*O45,0)</f>
        <v>0</v>
      </c>
      <c r="Q45" s="2" t="n">
        <f aca="false">K45*P45</f>
        <v>0</v>
      </c>
    </row>
    <row r="46" customFormat="false" ht="15" hidden="false" customHeight="false" outlineLevel="0" collapsed="false">
      <c r="A46" s="2" t="s">
        <v>129</v>
      </c>
      <c r="B46" s="2" t="s">
        <v>130</v>
      </c>
      <c r="C46" s="3" t="str">
        <f aca="false">INDEX(Pesos_Dimensiones!$B$2:$B$21,MATCH(B46,Pesos_Dimensiones!$A$2:$A$21,0))</f>
        <v>Contextual</v>
      </c>
      <c r="D46" s="2" t="s">
        <v>131</v>
      </c>
      <c r="E46" s="2" t="s">
        <v>20</v>
      </c>
      <c r="F46" s="2" t="n">
        <v>0</v>
      </c>
      <c r="G46" s="2" t="n">
        <v>4</v>
      </c>
      <c r="H46" s="2" t="s">
        <v>21</v>
      </c>
      <c r="I46" s="4" t="n">
        <v>0</v>
      </c>
      <c r="J46" s="2" t="n">
        <f aca="false">IF(H46="Inverso",G46-I46,I46)</f>
        <v>0</v>
      </c>
      <c r="K46" s="2" t="n">
        <f aca="false">IFERROR(J46/G46,0)</f>
        <v>0</v>
      </c>
      <c r="L46" s="2" t="s">
        <v>29</v>
      </c>
      <c r="M46" s="2" t="s">
        <v>30</v>
      </c>
      <c r="N46" s="3" t="n">
        <f aca="false">INDEX(Pesos_Dimensiones!$C$2:$C$21,MATCH(B46,Pesos_Dimensiones!$A$2:$A$21,0))</f>
        <v>0</v>
      </c>
      <c r="O46" s="2" t="n">
        <f aca="false">1/COUNTIF($B$2:$B$81,B46)</f>
        <v>0.25</v>
      </c>
      <c r="P46" s="2" t="n">
        <f aca="false">IF(C46="Nucleo",N46*O46,0)</f>
        <v>0</v>
      </c>
      <c r="Q46" s="2" t="n">
        <f aca="false">K46*P46</f>
        <v>0</v>
      </c>
    </row>
    <row r="47" customFormat="false" ht="15" hidden="false" customHeight="false" outlineLevel="0" collapsed="false">
      <c r="A47" s="2" t="s">
        <v>132</v>
      </c>
      <c r="B47" s="2" t="s">
        <v>130</v>
      </c>
      <c r="C47" s="3" t="str">
        <f aca="false">INDEX(Pesos_Dimensiones!$B$2:$B$21,MATCH(B47,Pesos_Dimensiones!$A$2:$A$21,0))</f>
        <v>Contextual</v>
      </c>
      <c r="D47" s="2" t="s">
        <v>133</v>
      </c>
      <c r="E47" s="2" t="s">
        <v>20</v>
      </c>
      <c r="F47" s="2" t="n">
        <v>0</v>
      </c>
      <c r="G47" s="2" t="n">
        <v>4</v>
      </c>
      <c r="H47" s="2" t="s">
        <v>34</v>
      </c>
      <c r="I47" s="4" t="n">
        <v>0</v>
      </c>
      <c r="J47" s="2" t="n">
        <f aca="false">IF(H47="Inverso",G47-I47,I47)</f>
        <v>4</v>
      </c>
      <c r="K47" s="2" t="n">
        <f aca="false">IFERROR(J47/G47,0)</f>
        <v>1</v>
      </c>
      <c r="L47" s="2" t="s">
        <v>29</v>
      </c>
      <c r="M47" s="2" t="s">
        <v>30</v>
      </c>
      <c r="N47" s="3" t="n">
        <f aca="false">INDEX(Pesos_Dimensiones!$C$2:$C$21,MATCH(B47,Pesos_Dimensiones!$A$2:$A$21,0))</f>
        <v>0</v>
      </c>
      <c r="O47" s="2" t="n">
        <f aca="false">1/COUNTIF($B$2:$B$81,B47)</f>
        <v>0.25</v>
      </c>
      <c r="P47" s="2" t="n">
        <f aca="false">IF(C47="Nucleo",N47*O47,0)</f>
        <v>0</v>
      </c>
      <c r="Q47" s="2" t="n">
        <f aca="false">K47*P47</f>
        <v>0</v>
      </c>
    </row>
    <row r="48" customFormat="false" ht="15" hidden="false" customHeight="false" outlineLevel="0" collapsed="false">
      <c r="A48" s="2" t="s">
        <v>134</v>
      </c>
      <c r="B48" s="2" t="s">
        <v>130</v>
      </c>
      <c r="C48" s="3" t="str">
        <f aca="false">INDEX(Pesos_Dimensiones!$B$2:$B$21,MATCH(B48,Pesos_Dimensiones!$A$2:$A$21,0))</f>
        <v>Contextual</v>
      </c>
      <c r="D48" s="2" t="s">
        <v>135</v>
      </c>
      <c r="E48" s="2" t="s">
        <v>25</v>
      </c>
      <c r="F48" s="2" t="n">
        <v>0</v>
      </c>
      <c r="G48" s="2" t="n">
        <v>3</v>
      </c>
      <c r="H48" s="2" t="s">
        <v>21</v>
      </c>
      <c r="I48" s="4" t="n">
        <v>0</v>
      </c>
      <c r="J48" s="2" t="n">
        <f aca="false">IF(H48="Inverso",G48-I48,I48)</f>
        <v>0</v>
      </c>
      <c r="K48" s="2" t="n">
        <f aca="false">IFERROR(J48/G48,0)</f>
        <v>0</v>
      </c>
      <c r="L48" s="2" t="s">
        <v>29</v>
      </c>
      <c r="M48" s="2" t="s">
        <v>30</v>
      </c>
      <c r="N48" s="3" t="n">
        <f aca="false">INDEX(Pesos_Dimensiones!$C$2:$C$21,MATCH(B48,Pesos_Dimensiones!$A$2:$A$21,0))</f>
        <v>0</v>
      </c>
      <c r="O48" s="2" t="n">
        <f aca="false">1/COUNTIF($B$2:$B$81,B48)</f>
        <v>0.25</v>
      </c>
      <c r="P48" s="2" t="n">
        <f aca="false">IF(C48="Nucleo",N48*O48,0)</f>
        <v>0</v>
      </c>
      <c r="Q48" s="2" t="n">
        <f aca="false">K48*P48</f>
        <v>0</v>
      </c>
    </row>
    <row r="49" customFormat="false" ht="15" hidden="false" customHeight="false" outlineLevel="0" collapsed="false">
      <c r="A49" s="2" t="s">
        <v>136</v>
      </c>
      <c r="B49" s="2" t="s">
        <v>130</v>
      </c>
      <c r="C49" s="3" t="str">
        <f aca="false">INDEX(Pesos_Dimensiones!$B$2:$B$21,MATCH(B49,Pesos_Dimensiones!$A$2:$A$21,0))</f>
        <v>Contextual</v>
      </c>
      <c r="D49" s="2" t="s">
        <v>137</v>
      </c>
      <c r="E49" s="2" t="s">
        <v>33</v>
      </c>
      <c r="F49" s="2" t="n">
        <v>0</v>
      </c>
      <c r="G49" s="2" t="n">
        <v>3</v>
      </c>
      <c r="H49" s="2" t="s">
        <v>34</v>
      </c>
      <c r="I49" s="4" t="n">
        <v>0</v>
      </c>
      <c r="J49" s="2" t="n">
        <f aca="false">IF(H49="Inverso",G49-I49,I49)</f>
        <v>3</v>
      </c>
      <c r="K49" s="2" t="n">
        <f aca="false">IFERROR(J49/G49,0)</f>
        <v>1</v>
      </c>
      <c r="L49" s="2" t="s">
        <v>29</v>
      </c>
      <c r="M49" s="2" t="s">
        <v>30</v>
      </c>
      <c r="N49" s="3" t="n">
        <f aca="false">INDEX(Pesos_Dimensiones!$C$2:$C$21,MATCH(B49,Pesos_Dimensiones!$A$2:$A$21,0))</f>
        <v>0</v>
      </c>
      <c r="O49" s="2" t="n">
        <f aca="false">1/COUNTIF($B$2:$B$81,B49)</f>
        <v>0.25</v>
      </c>
      <c r="P49" s="2" t="n">
        <f aca="false">IF(C49="Nucleo",N49*O49,0)</f>
        <v>0</v>
      </c>
      <c r="Q49" s="2" t="n">
        <f aca="false">K49*P49</f>
        <v>0</v>
      </c>
    </row>
    <row r="50" customFormat="false" ht="15" hidden="false" customHeight="false" outlineLevel="0" collapsed="false">
      <c r="A50" s="2" t="s">
        <v>138</v>
      </c>
      <c r="B50" s="2" t="s">
        <v>139</v>
      </c>
      <c r="C50" s="3" t="str">
        <f aca="false">INDEX(Pesos_Dimensiones!$B$2:$B$21,MATCH(B50,Pesos_Dimensiones!$A$2:$A$21,0))</f>
        <v>Contextual</v>
      </c>
      <c r="D50" s="2" t="s">
        <v>140</v>
      </c>
      <c r="E50" s="2" t="s">
        <v>141</v>
      </c>
      <c r="F50" s="2" t="n">
        <v>0</v>
      </c>
      <c r="G50" s="2" t="n">
        <v>3</v>
      </c>
      <c r="H50" s="2" t="s">
        <v>21</v>
      </c>
      <c r="I50" s="4" t="n">
        <v>0</v>
      </c>
      <c r="J50" s="2" t="n">
        <f aca="false">IF(H50="Inverso",G50-I50,I50)</f>
        <v>0</v>
      </c>
      <c r="K50" s="2" t="n">
        <f aca="false">IFERROR(J50/G50,0)</f>
        <v>0</v>
      </c>
      <c r="L50" s="2" t="s">
        <v>29</v>
      </c>
      <c r="M50" s="2" t="s">
        <v>30</v>
      </c>
      <c r="N50" s="3" t="n">
        <f aca="false">INDEX(Pesos_Dimensiones!$C$2:$C$21,MATCH(B50,Pesos_Dimensiones!$A$2:$A$21,0))</f>
        <v>0</v>
      </c>
      <c r="O50" s="2" t="n">
        <f aca="false">1/COUNTIF($B$2:$B$81,B50)</f>
        <v>0.25</v>
      </c>
      <c r="P50" s="2" t="n">
        <f aca="false">IF(C50="Nucleo",N50*O50,0)</f>
        <v>0</v>
      </c>
      <c r="Q50" s="2" t="n">
        <f aca="false">K50*P50</f>
        <v>0</v>
      </c>
    </row>
    <row r="51" customFormat="false" ht="15" hidden="false" customHeight="false" outlineLevel="0" collapsed="false">
      <c r="A51" s="2" t="s">
        <v>142</v>
      </c>
      <c r="B51" s="2" t="s">
        <v>139</v>
      </c>
      <c r="C51" s="3" t="str">
        <f aca="false">INDEX(Pesos_Dimensiones!$B$2:$B$21,MATCH(B51,Pesos_Dimensiones!$A$2:$A$21,0))</f>
        <v>Contextual</v>
      </c>
      <c r="D51" s="2" t="s">
        <v>143</v>
      </c>
      <c r="E51" s="2" t="s">
        <v>126</v>
      </c>
      <c r="F51" s="2" t="n">
        <v>0</v>
      </c>
      <c r="G51" s="2" t="n">
        <v>4</v>
      </c>
      <c r="H51" s="2" t="s">
        <v>34</v>
      </c>
      <c r="I51" s="4" t="n">
        <v>0</v>
      </c>
      <c r="J51" s="2" t="n">
        <f aca="false">IF(H51="Inverso",G51-I51,I51)</f>
        <v>4</v>
      </c>
      <c r="K51" s="2" t="n">
        <f aca="false">IFERROR(J51/G51,0)</f>
        <v>1</v>
      </c>
      <c r="L51" s="2" t="s">
        <v>29</v>
      </c>
      <c r="M51" s="2" t="s">
        <v>30</v>
      </c>
      <c r="N51" s="3" t="n">
        <f aca="false">INDEX(Pesos_Dimensiones!$C$2:$C$21,MATCH(B51,Pesos_Dimensiones!$A$2:$A$21,0))</f>
        <v>0</v>
      </c>
      <c r="O51" s="2" t="n">
        <f aca="false">1/COUNTIF($B$2:$B$81,B51)</f>
        <v>0.25</v>
      </c>
      <c r="P51" s="2" t="n">
        <f aca="false">IF(C51="Nucleo",N51*O51,0)</f>
        <v>0</v>
      </c>
      <c r="Q51" s="2" t="n">
        <f aca="false">K51*P51</f>
        <v>0</v>
      </c>
    </row>
    <row r="52" customFormat="false" ht="15" hidden="false" customHeight="false" outlineLevel="0" collapsed="false">
      <c r="A52" s="2" t="s">
        <v>144</v>
      </c>
      <c r="B52" s="2" t="s">
        <v>139</v>
      </c>
      <c r="C52" s="3" t="str">
        <f aca="false">INDEX(Pesos_Dimensiones!$B$2:$B$21,MATCH(B52,Pesos_Dimensiones!$A$2:$A$21,0))</f>
        <v>Contextual</v>
      </c>
      <c r="D52" s="2" t="s">
        <v>145</v>
      </c>
      <c r="E52" s="2" t="s">
        <v>20</v>
      </c>
      <c r="F52" s="2" t="n">
        <v>0</v>
      </c>
      <c r="G52" s="2" t="n">
        <v>4</v>
      </c>
      <c r="H52" s="2" t="s">
        <v>21</v>
      </c>
      <c r="I52" s="4" t="n">
        <v>0</v>
      </c>
      <c r="J52" s="2" t="n">
        <f aca="false">IF(H52="Inverso",G52-I52,I52)</f>
        <v>0</v>
      </c>
      <c r="K52" s="2" t="n">
        <f aca="false">IFERROR(J52/G52,0)</f>
        <v>0</v>
      </c>
      <c r="L52" s="2" t="s">
        <v>29</v>
      </c>
      <c r="M52" s="2" t="s">
        <v>30</v>
      </c>
      <c r="N52" s="3" t="n">
        <f aca="false">INDEX(Pesos_Dimensiones!$C$2:$C$21,MATCH(B52,Pesos_Dimensiones!$A$2:$A$21,0))</f>
        <v>0</v>
      </c>
      <c r="O52" s="2" t="n">
        <f aca="false">1/COUNTIF($B$2:$B$81,B52)</f>
        <v>0.25</v>
      </c>
      <c r="P52" s="2" t="n">
        <f aca="false">IF(C52="Nucleo",N52*O52,0)</f>
        <v>0</v>
      </c>
      <c r="Q52" s="2" t="n">
        <f aca="false">K52*P52</f>
        <v>0</v>
      </c>
    </row>
    <row r="53" customFormat="false" ht="15" hidden="false" customHeight="false" outlineLevel="0" collapsed="false">
      <c r="A53" s="2" t="s">
        <v>146</v>
      </c>
      <c r="B53" s="2" t="s">
        <v>139</v>
      </c>
      <c r="C53" s="3" t="str">
        <f aca="false">INDEX(Pesos_Dimensiones!$B$2:$B$21,MATCH(B53,Pesos_Dimensiones!$A$2:$A$21,0))</f>
        <v>Contextual</v>
      </c>
      <c r="D53" s="2" t="s">
        <v>147</v>
      </c>
      <c r="E53" s="2" t="s">
        <v>141</v>
      </c>
      <c r="F53" s="2" t="n">
        <v>0</v>
      </c>
      <c r="G53" s="2" t="n">
        <v>3</v>
      </c>
      <c r="H53" s="2" t="s">
        <v>21</v>
      </c>
      <c r="I53" s="4" t="n">
        <v>0</v>
      </c>
      <c r="J53" s="2" t="n">
        <f aca="false">IF(H53="Inverso",G53-I53,I53)</f>
        <v>0</v>
      </c>
      <c r="K53" s="2" t="n">
        <f aca="false">IFERROR(J53/G53,0)</f>
        <v>0</v>
      </c>
      <c r="L53" s="2" t="s">
        <v>29</v>
      </c>
      <c r="M53" s="2" t="s">
        <v>30</v>
      </c>
      <c r="N53" s="3" t="n">
        <f aca="false">INDEX(Pesos_Dimensiones!$C$2:$C$21,MATCH(B53,Pesos_Dimensiones!$A$2:$A$21,0))</f>
        <v>0</v>
      </c>
      <c r="O53" s="2" t="n">
        <f aca="false">1/COUNTIF($B$2:$B$81,B53)</f>
        <v>0.25</v>
      </c>
      <c r="P53" s="2" t="n">
        <f aca="false">IF(C53="Nucleo",N53*O53,0)</f>
        <v>0</v>
      </c>
      <c r="Q53" s="2" t="n">
        <f aca="false">K53*P53</f>
        <v>0</v>
      </c>
    </row>
    <row r="54" customFormat="false" ht="15" hidden="false" customHeight="false" outlineLevel="0" collapsed="false">
      <c r="A54" s="2" t="s">
        <v>148</v>
      </c>
      <c r="B54" s="2" t="s">
        <v>149</v>
      </c>
      <c r="C54" s="3" t="str">
        <f aca="false">INDEX(Pesos_Dimensiones!$B$2:$B$21,MATCH(B54,Pesos_Dimensiones!$A$2:$A$21,0))</f>
        <v>Contextual</v>
      </c>
      <c r="D54" s="2" t="s">
        <v>150</v>
      </c>
      <c r="E54" s="2" t="s">
        <v>25</v>
      </c>
      <c r="F54" s="2" t="n">
        <v>0</v>
      </c>
      <c r="G54" s="2" t="n">
        <v>3</v>
      </c>
      <c r="H54" s="2" t="s">
        <v>21</v>
      </c>
      <c r="I54" s="4" t="n">
        <v>0</v>
      </c>
      <c r="J54" s="2" t="n">
        <f aca="false">IF(H54="Inverso",G54-I54,I54)</f>
        <v>0</v>
      </c>
      <c r="K54" s="2" t="n">
        <f aca="false">IFERROR(J54/G54,0)</f>
        <v>0</v>
      </c>
      <c r="L54" s="2" t="s">
        <v>29</v>
      </c>
      <c r="M54" s="2" t="s">
        <v>30</v>
      </c>
      <c r="N54" s="3" t="n">
        <f aca="false">INDEX(Pesos_Dimensiones!$C$2:$C$21,MATCH(B54,Pesos_Dimensiones!$A$2:$A$21,0))</f>
        <v>0</v>
      </c>
      <c r="O54" s="2" t="n">
        <f aca="false">1/COUNTIF($B$2:$B$81,B54)</f>
        <v>0.25</v>
      </c>
      <c r="P54" s="2" t="n">
        <f aca="false">IF(C54="Nucleo",N54*O54,0)</f>
        <v>0</v>
      </c>
      <c r="Q54" s="2" t="n">
        <f aca="false">K54*P54</f>
        <v>0</v>
      </c>
    </row>
    <row r="55" customFormat="false" ht="15" hidden="false" customHeight="false" outlineLevel="0" collapsed="false">
      <c r="A55" s="2" t="s">
        <v>151</v>
      </c>
      <c r="B55" s="2" t="s">
        <v>149</v>
      </c>
      <c r="C55" s="3" t="str">
        <f aca="false">INDEX(Pesos_Dimensiones!$B$2:$B$21,MATCH(B55,Pesos_Dimensiones!$A$2:$A$21,0))</f>
        <v>Contextual</v>
      </c>
      <c r="D55" s="2" t="s">
        <v>152</v>
      </c>
      <c r="E55" s="2" t="s">
        <v>33</v>
      </c>
      <c r="F55" s="2" t="n">
        <v>0</v>
      </c>
      <c r="G55" s="2" t="n">
        <v>3</v>
      </c>
      <c r="H55" s="2" t="s">
        <v>21</v>
      </c>
      <c r="I55" s="4" t="n">
        <v>0</v>
      </c>
      <c r="J55" s="2" t="n">
        <f aca="false">IF(H55="Inverso",G55-I55,I55)</f>
        <v>0</v>
      </c>
      <c r="K55" s="2" t="n">
        <f aca="false">IFERROR(J55/G55,0)</f>
        <v>0</v>
      </c>
      <c r="L55" s="2" t="s">
        <v>29</v>
      </c>
      <c r="M55" s="2" t="s">
        <v>30</v>
      </c>
      <c r="N55" s="3" t="n">
        <f aca="false">INDEX(Pesos_Dimensiones!$C$2:$C$21,MATCH(B55,Pesos_Dimensiones!$A$2:$A$21,0))</f>
        <v>0</v>
      </c>
      <c r="O55" s="2" t="n">
        <f aca="false">1/COUNTIF($B$2:$B$81,B55)</f>
        <v>0.25</v>
      </c>
      <c r="P55" s="2" t="n">
        <f aca="false">IF(C55="Nucleo",N55*O55,0)</f>
        <v>0</v>
      </c>
      <c r="Q55" s="2" t="n">
        <f aca="false">K55*P55</f>
        <v>0</v>
      </c>
    </row>
    <row r="56" customFormat="false" ht="15" hidden="false" customHeight="false" outlineLevel="0" collapsed="false">
      <c r="A56" s="2" t="s">
        <v>153</v>
      </c>
      <c r="B56" s="2" t="s">
        <v>149</v>
      </c>
      <c r="C56" s="3" t="str">
        <f aca="false">INDEX(Pesos_Dimensiones!$B$2:$B$21,MATCH(B56,Pesos_Dimensiones!$A$2:$A$21,0))</f>
        <v>Contextual</v>
      </c>
      <c r="D56" s="2" t="s">
        <v>154</v>
      </c>
      <c r="E56" s="2" t="s">
        <v>155</v>
      </c>
      <c r="F56" s="2" t="n">
        <v>0</v>
      </c>
      <c r="G56" s="2" t="n">
        <v>4</v>
      </c>
      <c r="H56" s="2" t="s">
        <v>34</v>
      </c>
      <c r="I56" s="4" t="n">
        <v>0</v>
      </c>
      <c r="J56" s="2" t="n">
        <f aca="false">IF(H56="Inverso",G56-I56,I56)</f>
        <v>4</v>
      </c>
      <c r="K56" s="2" t="n">
        <f aca="false">IFERROR(J56/G56,0)</f>
        <v>1</v>
      </c>
      <c r="L56" s="2" t="s">
        <v>29</v>
      </c>
      <c r="M56" s="2" t="s">
        <v>30</v>
      </c>
      <c r="N56" s="3" t="n">
        <f aca="false">INDEX(Pesos_Dimensiones!$C$2:$C$21,MATCH(B56,Pesos_Dimensiones!$A$2:$A$21,0))</f>
        <v>0</v>
      </c>
      <c r="O56" s="2" t="n">
        <f aca="false">1/COUNTIF($B$2:$B$81,B56)</f>
        <v>0.25</v>
      </c>
      <c r="P56" s="2" t="n">
        <f aca="false">IF(C56="Nucleo",N56*O56,0)</f>
        <v>0</v>
      </c>
      <c r="Q56" s="2" t="n">
        <f aca="false">K56*P56</f>
        <v>0</v>
      </c>
    </row>
    <row r="57" customFormat="false" ht="15" hidden="false" customHeight="false" outlineLevel="0" collapsed="false">
      <c r="A57" s="2" t="s">
        <v>156</v>
      </c>
      <c r="B57" s="2" t="s">
        <v>149</v>
      </c>
      <c r="C57" s="3" t="str">
        <f aca="false">INDEX(Pesos_Dimensiones!$B$2:$B$21,MATCH(B57,Pesos_Dimensiones!$A$2:$A$21,0))</f>
        <v>Contextual</v>
      </c>
      <c r="D57" s="2" t="s">
        <v>157</v>
      </c>
      <c r="E57" s="2" t="s">
        <v>25</v>
      </c>
      <c r="F57" s="2" t="n">
        <v>0</v>
      </c>
      <c r="G57" s="2" t="n">
        <v>3</v>
      </c>
      <c r="H57" s="2" t="s">
        <v>21</v>
      </c>
      <c r="I57" s="4" t="n">
        <v>0</v>
      </c>
      <c r="J57" s="2" t="n">
        <f aca="false">IF(H57="Inverso",G57-I57,I57)</f>
        <v>0</v>
      </c>
      <c r="K57" s="2" t="n">
        <f aca="false">IFERROR(J57/G57,0)</f>
        <v>0</v>
      </c>
      <c r="L57" s="2" t="s">
        <v>29</v>
      </c>
      <c r="M57" s="2" t="s">
        <v>30</v>
      </c>
      <c r="N57" s="3" t="n">
        <f aca="false">INDEX(Pesos_Dimensiones!$C$2:$C$21,MATCH(B57,Pesos_Dimensiones!$A$2:$A$21,0))</f>
        <v>0</v>
      </c>
      <c r="O57" s="2" t="n">
        <f aca="false">1/COUNTIF($B$2:$B$81,B57)</f>
        <v>0.25</v>
      </c>
      <c r="P57" s="2" t="n">
        <f aca="false">IF(C57="Nucleo",N57*O57,0)</f>
        <v>0</v>
      </c>
      <c r="Q57" s="2" t="n">
        <f aca="false">K57*P57</f>
        <v>0</v>
      </c>
    </row>
    <row r="58" customFormat="false" ht="15" hidden="false" customHeight="false" outlineLevel="0" collapsed="false">
      <c r="A58" s="2" t="s">
        <v>158</v>
      </c>
      <c r="B58" s="2" t="s">
        <v>159</v>
      </c>
      <c r="C58" s="3" t="str">
        <f aca="false">INDEX(Pesos_Dimensiones!$B$2:$B$21,MATCH(B58,Pesos_Dimensiones!$A$2:$A$21,0))</f>
        <v>Contextual</v>
      </c>
      <c r="D58" s="2" t="s">
        <v>160</v>
      </c>
      <c r="E58" s="2" t="s">
        <v>20</v>
      </c>
      <c r="F58" s="2" t="n">
        <v>0</v>
      </c>
      <c r="G58" s="2" t="n">
        <v>4</v>
      </c>
      <c r="H58" s="2" t="s">
        <v>21</v>
      </c>
      <c r="I58" s="4" t="n">
        <v>0</v>
      </c>
      <c r="J58" s="2" t="n">
        <f aca="false">IF(H58="Inverso",G58-I58,I58)</f>
        <v>0</v>
      </c>
      <c r="K58" s="2" t="n">
        <f aca="false">IFERROR(J58/G58,0)</f>
        <v>0</v>
      </c>
      <c r="L58" s="2" t="s">
        <v>29</v>
      </c>
      <c r="M58" s="2" t="s">
        <v>30</v>
      </c>
      <c r="N58" s="3" t="n">
        <f aca="false">INDEX(Pesos_Dimensiones!$C$2:$C$21,MATCH(B58,Pesos_Dimensiones!$A$2:$A$21,0))</f>
        <v>0</v>
      </c>
      <c r="O58" s="2" t="n">
        <f aca="false">1/COUNTIF($B$2:$B$81,B58)</f>
        <v>0.25</v>
      </c>
      <c r="P58" s="2" t="n">
        <f aca="false">IF(C58="Nucleo",N58*O58,0)</f>
        <v>0</v>
      </c>
      <c r="Q58" s="2" t="n">
        <f aca="false">K58*P58</f>
        <v>0</v>
      </c>
    </row>
    <row r="59" customFormat="false" ht="15" hidden="false" customHeight="false" outlineLevel="0" collapsed="false">
      <c r="A59" s="2" t="s">
        <v>161</v>
      </c>
      <c r="B59" s="2" t="s">
        <v>159</v>
      </c>
      <c r="C59" s="3" t="str">
        <f aca="false">INDEX(Pesos_Dimensiones!$B$2:$B$21,MATCH(B59,Pesos_Dimensiones!$A$2:$A$21,0))</f>
        <v>Contextual</v>
      </c>
      <c r="D59" s="2" t="s">
        <v>162</v>
      </c>
      <c r="E59" s="2" t="s">
        <v>25</v>
      </c>
      <c r="F59" s="2" t="n">
        <v>0</v>
      </c>
      <c r="G59" s="2" t="n">
        <v>3</v>
      </c>
      <c r="H59" s="2" t="s">
        <v>21</v>
      </c>
      <c r="I59" s="4" t="n">
        <v>0</v>
      </c>
      <c r="J59" s="2" t="n">
        <f aca="false">IF(H59="Inverso",G59-I59,I59)</f>
        <v>0</v>
      </c>
      <c r="K59" s="2" t="n">
        <f aca="false">IFERROR(J59/G59,0)</f>
        <v>0</v>
      </c>
      <c r="L59" s="2" t="s">
        <v>29</v>
      </c>
      <c r="M59" s="2" t="s">
        <v>30</v>
      </c>
      <c r="N59" s="3" t="n">
        <f aca="false">INDEX(Pesos_Dimensiones!$C$2:$C$21,MATCH(B59,Pesos_Dimensiones!$A$2:$A$21,0))</f>
        <v>0</v>
      </c>
      <c r="O59" s="2" t="n">
        <f aca="false">1/COUNTIF($B$2:$B$81,B59)</f>
        <v>0.25</v>
      </c>
      <c r="P59" s="2" t="n">
        <f aca="false">IF(C59="Nucleo",N59*O59,0)</f>
        <v>0</v>
      </c>
      <c r="Q59" s="2" t="n">
        <f aca="false">K59*P59</f>
        <v>0</v>
      </c>
    </row>
    <row r="60" customFormat="false" ht="15" hidden="false" customHeight="false" outlineLevel="0" collapsed="false">
      <c r="A60" s="2" t="s">
        <v>163</v>
      </c>
      <c r="B60" s="2" t="s">
        <v>159</v>
      </c>
      <c r="C60" s="3" t="str">
        <f aca="false">INDEX(Pesos_Dimensiones!$B$2:$B$21,MATCH(B60,Pesos_Dimensiones!$A$2:$A$21,0))</f>
        <v>Contextual</v>
      </c>
      <c r="D60" s="2" t="s">
        <v>164</v>
      </c>
      <c r="E60" s="2" t="s">
        <v>20</v>
      </c>
      <c r="F60" s="2" t="n">
        <v>0</v>
      </c>
      <c r="G60" s="2" t="n">
        <v>4</v>
      </c>
      <c r="H60" s="2" t="s">
        <v>21</v>
      </c>
      <c r="I60" s="4" t="n">
        <v>0</v>
      </c>
      <c r="J60" s="2" t="n">
        <f aca="false">IF(H60="Inverso",G60-I60,I60)</f>
        <v>0</v>
      </c>
      <c r="K60" s="2" t="n">
        <f aca="false">IFERROR(J60/G60,0)</f>
        <v>0</v>
      </c>
      <c r="L60" s="2" t="s">
        <v>29</v>
      </c>
      <c r="M60" s="2" t="s">
        <v>30</v>
      </c>
      <c r="N60" s="3" t="n">
        <f aca="false">INDEX(Pesos_Dimensiones!$C$2:$C$21,MATCH(B60,Pesos_Dimensiones!$A$2:$A$21,0))</f>
        <v>0</v>
      </c>
      <c r="O60" s="2" t="n">
        <f aca="false">1/COUNTIF($B$2:$B$81,B60)</f>
        <v>0.25</v>
      </c>
      <c r="P60" s="2" t="n">
        <f aca="false">IF(C60="Nucleo",N60*O60,0)</f>
        <v>0</v>
      </c>
      <c r="Q60" s="2" t="n">
        <f aca="false">K60*P60</f>
        <v>0</v>
      </c>
    </row>
    <row r="61" customFormat="false" ht="15" hidden="false" customHeight="false" outlineLevel="0" collapsed="false">
      <c r="A61" s="2" t="s">
        <v>165</v>
      </c>
      <c r="B61" s="2" t="s">
        <v>159</v>
      </c>
      <c r="C61" s="3" t="str">
        <f aca="false">INDEX(Pesos_Dimensiones!$B$2:$B$21,MATCH(B61,Pesos_Dimensiones!$A$2:$A$21,0))</f>
        <v>Contextual</v>
      </c>
      <c r="D61" s="2" t="s">
        <v>166</v>
      </c>
      <c r="E61" s="2" t="s">
        <v>33</v>
      </c>
      <c r="F61" s="2" t="n">
        <v>0</v>
      </c>
      <c r="G61" s="2" t="n">
        <v>3</v>
      </c>
      <c r="H61" s="2" t="s">
        <v>34</v>
      </c>
      <c r="I61" s="4" t="n">
        <v>0</v>
      </c>
      <c r="J61" s="2" t="n">
        <f aca="false">IF(H61="Inverso",G61-I61,I61)</f>
        <v>3</v>
      </c>
      <c r="K61" s="2" t="n">
        <f aca="false">IFERROR(J61/G61,0)</f>
        <v>1</v>
      </c>
      <c r="L61" s="2" t="s">
        <v>29</v>
      </c>
      <c r="M61" s="2" t="s">
        <v>30</v>
      </c>
      <c r="N61" s="3" t="n">
        <f aca="false">INDEX(Pesos_Dimensiones!$C$2:$C$21,MATCH(B61,Pesos_Dimensiones!$A$2:$A$21,0))</f>
        <v>0</v>
      </c>
      <c r="O61" s="2" t="n">
        <f aca="false">1/COUNTIF($B$2:$B$81,B61)</f>
        <v>0.25</v>
      </c>
      <c r="P61" s="2" t="n">
        <f aca="false">IF(C61="Nucleo",N61*O61,0)</f>
        <v>0</v>
      </c>
      <c r="Q61" s="2" t="n">
        <f aca="false">K61*P61</f>
        <v>0</v>
      </c>
    </row>
    <row r="62" customFormat="false" ht="15" hidden="false" customHeight="false" outlineLevel="0" collapsed="false">
      <c r="A62" s="2" t="s">
        <v>167</v>
      </c>
      <c r="B62" s="2" t="s">
        <v>168</v>
      </c>
      <c r="C62" s="3" t="str">
        <f aca="false">INDEX(Pesos_Dimensiones!$B$2:$B$21,MATCH(B62,Pesos_Dimensiones!$A$2:$A$21,0))</f>
        <v>Contextual</v>
      </c>
      <c r="D62" s="2" t="s">
        <v>169</v>
      </c>
      <c r="E62" s="2" t="s">
        <v>25</v>
      </c>
      <c r="F62" s="2" t="n">
        <v>0</v>
      </c>
      <c r="G62" s="2" t="n">
        <v>3</v>
      </c>
      <c r="H62" s="2" t="s">
        <v>21</v>
      </c>
      <c r="I62" s="4" t="n">
        <v>0</v>
      </c>
      <c r="J62" s="2" t="n">
        <f aca="false">IF(H62="Inverso",G62-I62,I62)</f>
        <v>0</v>
      </c>
      <c r="K62" s="2" t="n">
        <f aca="false">IFERROR(J62/G62,0)</f>
        <v>0</v>
      </c>
      <c r="L62" s="2" t="s">
        <v>29</v>
      </c>
      <c r="M62" s="2" t="s">
        <v>30</v>
      </c>
      <c r="N62" s="3" t="n">
        <f aca="false">INDEX(Pesos_Dimensiones!$C$2:$C$21,MATCH(B62,Pesos_Dimensiones!$A$2:$A$21,0))</f>
        <v>0</v>
      </c>
      <c r="O62" s="2" t="n">
        <f aca="false">1/COUNTIF($B$2:$B$81,B62)</f>
        <v>0.25</v>
      </c>
      <c r="P62" s="2" t="n">
        <f aca="false">IF(C62="Nucleo",N62*O62,0)</f>
        <v>0</v>
      </c>
      <c r="Q62" s="2" t="n">
        <f aca="false">K62*P62</f>
        <v>0</v>
      </c>
    </row>
    <row r="63" customFormat="false" ht="15" hidden="false" customHeight="false" outlineLevel="0" collapsed="false">
      <c r="A63" s="2" t="s">
        <v>170</v>
      </c>
      <c r="B63" s="2" t="s">
        <v>168</v>
      </c>
      <c r="C63" s="3" t="str">
        <f aca="false">INDEX(Pesos_Dimensiones!$B$2:$B$21,MATCH(B63,Pesos_Dimensiones!$A$2:$A$21,0))</f>
        <v>Contextual</v>
      </c>
      <c r="D63" s="2" t="s">
        <v>171</v>
      </c>
      <c r="E63" s="2" t="s">
        <v>126</v>
      </c>
      <c r="F63" s="2" t="n">
        <v>0</v>
      </c>
      <c r="G63" s="2" t="n">
        <v>4</v>
      </c>
      <c r="H63" s="2" t="s">
        <v>34</v>
      </c>
      <c r="I63" s="4" t="n">
        <v>0</v>
      </c>
      <c r="J63" s="2" t="n">
        <f aca="false">IF(H63="Inverso",G63-I63,I63)</f>
        <v>4</v>
      </c>
      <c r="K63" s="2" t="n">
        <f aca="false">IFERROR(J63/G63,0)</f>
        <v>1</v>
      </c>
      <c r="L63" s="2" t="s">
        <v>29</v>
      </c>
      <c r="M63" s="2" t="s">
        <v>30</v>
      </c>
      <c r="N63" s="3" t="n">
        <f aca="false">INDEX(Pesos_Dimensiones!$C$2:$C$21,MATCH(B63,Pesos_Dimensiones!$A$2:$A$21,0))</f>
        <v>0</v>
      </c>
      <c r="O63" s="2" t="n">
        <f aca="false">1/COUNTIF($B$2:$B$81,B63)</f>
        <v>0.25</v>
      </c>
      <c r="P63" s="2" t="n">
        <f aca="false">IF(C63="Nucleo",N63*O63,0)</f>
        <v>0</v>
      </c>
      <c r="Q63" s="2" t="n">
        <f aca="false">K63*P63</f>
        <v>0</v>
      </c>
    </row>
    <row r="64" customFormat="false" ht="15" hidden="false" customHeight="false" outlineLevel="0" collapsed="false">
      <c r="A64" s="2" t="s">
        <v>172</v>
      </c>
      <c r="B64" s="2" t="s">
        <v>168</v>
      </c>
      <c r="C64" s="3" t="str">
        <f aca="false">INDEX(Pesos_Dimensiones!$B$2:$B$21,MATCH(B64,Pesos_Dimensiones!$A$2:$A$21,0))</f>
        <v>Contextual</v>
      </c>
      <c r="D64" s="2" t="s">
        <v>173</v>
      </c>
      <c r="E64" s="2" t="s">
        <v>25</v>
      </c>
      <c r="F64" s="2" t="n">
        <v>0</v>
      </c>
      <c r="G64" s="2" t="n">
        <v>3</v>
      </c>
      <c r="H64" s="2" t="s">
        <v>21</v>
      </c>
      <c r="I64" s="4" t="n">
        <v>0</v>
      </c>
      <c r="J64" s="2" t="n">
        <f aca="false">IF(H64="Inverso",G64-I64,I64)</f>
        <v>0</v>
      </c>
      <c r="K64" s="2" t="n">
        <f aca="false">IFERROR(J64/G64,0)</f>
        <v>0</v>
      </c>
      <c r="L64" s="2" t="s">
        <v>29</v>
      </c>
      <c r="M64" s="2" t="s">
        <v>30</v>
      </c>
      <c r="N64" s="3" t="n">
        <f aca="false">INDEX(Pesos_Dimensiones!$C$2:$C$21,MATCH(B64,Pesos_Dimensiones!$A$2:$A$21,0))</f>
        <v>0</v>
      </c>
      <c r="O64" s="2" t="n">
        <f aca="false">1/COUNTIF($B$2:$B$81,B64)</f>
        <v>0.25</v>
      </c>
      <c r="P64" s="2" t="n">
        <f aca="false">IF(C64="Nucleo",N64*O64,0)</f>
        <v>0</v>
      </c>
      <c r="Q64" s="2" t="n">
        <f aca="false">K64*P64</f>
        <v>0</v>
      </c>
    </row>
    <row r="65" customFormat="false" ht="15" hidden="false" customHeight="false" outlineLevel="0" collapsed="false">
      <c r="A65" s="2" t="s">
        <v>174</v>
      </c>
      <c r="B65" s="2" t="s">
        <v>168</v>
      </c>
      <c r="C65" s="3" t="str">
        <f aca="false">INDEX(Pesos_Dimensiones!$B$2:$B$21,MATCH(B65,Pesos_Dimensiones!$A$2:$A$21,0))</f>
        <v>Contextual</v>
      </c>
      <c r="D65" s="2" t="s">
        <v>175</v>
      </c>
      <c r="E65" s="2" t="s">
        <v>25</v>
      </c>
      <c r="F65" s="2" t="n">
        <v>0</v>
      </c>
      <c r="G65" s="2" t="n">
        <v>3</v>
      </c>
      <c r="H65" s="2" t="s">
        <v>21</v>
      </c>
      <c r="I65" s="4" t="n">
        <v>0</v>
      </c>
      <c r="J65" s="2" t="n">
        <f aca="false">IF(H65="Inverso",G65-I65,I65)</f>
        <v>0</v>
      </c>
      <c r="K65" s="2" t="n">
        <f aca="false">IFERROR(J65/G65,0)</f>
        <v>0</v>
      </c>
      <c r="L65" s="2" t="s">
        <v>29</v>
      </c>
      <c r="M65" s="2" t="s">
        <v>30</v>
      </c>
      <c r="N65" s="3" t="n">
        <f aca="false">INDEX(Pesos_Dimensiones!$C$2:$C$21,MATCH(B65,Pesos_Dimensiones!$A$2:$A$21,0))</f>
        <v>0</v>
      </c>
      <c r="O65" s="2" t="n">
        <f aca="false">1/COUNTIF($B$2:$B$81,B65)</f>
        <v>0.25</v>
      </c>
      <c r="P65" s="2" t="n">
        <f aca="false">IF(C65="Nucleo",N65*O65,0)</f>
        <v>0</v>
      </c>
      <c r="Q65" s="2" t="n">
        <f aca="false">K65*P65</f>
        <v>0</v>
      </c>
    </row>
    <row r="66" customFormat="false" ht="15" hidden="false" customHeight="false" outlineLevel="0" collapsed="false">
      <c r="A66" s="2" t="s">
        <v>176</v>
      </c>
      <c r="B66" s="2" t="s">
        <v>177</v>
      </c>
      <c r="C66" s="3" t="str">
        <f aca="false">INDEX(Pesos_Dimensiones!$B$2:$B$21,MATCH(B66,Pesos_Dimensiones!$A$2:$A$21,0))</f>
        <v>Contextual</v>
      </c>
      <c r="D66" s="2" t="s">
        <v>178</v>
      </c>
      <c r="E66" s="2" t="s">
        <v>33</v>
      </c>
      <c r="F66" s="2" t="n">
        <v>0</v>
      </c>
      <c r="G66" s="2" t="n">
        <v>3</v>
      </c>
      <c r="H66" s="2" t="s">
        <v>34</v>
      </c>
      <c r="I66" s="4" t="n">
        <v>0</v>
      </c>
      <c r="J66" s="2" t="n">
        <f aca="false">IF(H66="Inverso",G66-I66,I66)</f>
        <v>3</v>
      </c>
      <c r="K66" s="2" t="n">
        <f aca="false">IFERROR(J66/G66,0)</f>
        <v>1</v>
      </c>
      <c r="L66" s="2" t="s">
        <v>29</v>
      </c>
      <c r="M66" s="2" t="s">
        <v>30</v>
      </c>
      <c r="N66" s="3" t="n">
        <f aca="false">INDEX(Pesos_Dimensiones!$C$2:$C$21,MATCH(B66,Pesos_Dimensiones!$A$2:$A$21,0))</f>
        <v>0</v>
      </c>
      <c r="O66" s="2" t="n">
        <f aca="false">1/COUNTIF($B$2:$B$81,B66)</f>
        <v>0.25</v>
      </c>
      <c r="P66" s="2" t="n">
        <f aca="false">IF(C66="Nucleo",N66*O66,0)</f>
        <v>0</v>
      </c>
      <c r="Q66" s="2" t="n">
        <f aca="false">K66*P66</f>
        <v>0</v>
      </c>
    </row>
    <row r="67" customFormat="false" ht="15" hidden="false" customHeight="false" outlineLevel="0" collapsed="false">
      <c r="A67" s="2" t="s">
        <v>179</v>
      </c>
      <c r="B67" s="2" t="s">
        <v>177</v>
      </c>
      <c r="C67" s="3" t="str">
        <f aca="false">INDEX(Pesos_Dimensiones!$B$2:$B$21,MATCH(B67,Pesos_Dimensiones!$A$2:$A$21,0))</f>
        <v>Contextual</v>
      </c>
      <c r="D67" s="2" t="s">
        <v>180</v>
      </c>
      <c r="E67" s="2" t="s">
        <v>20</v>
      </c>
      <c r="F67" s="2" t="n">
        <v>0</v>
      </c>
      <c r="G67" s="2" t="n">
        <v>4</v>
      </c>
      <c r="H67" s="2" t="s">
        <v>34</v>
      </c>
      <c r="I67" s="4" t="n">
        <v>0</v>
      </c>
      <c r="J67" s="2" t="n">
        <f aca="false">IF(H67="Inverso",G67-I67,I67)</f>
        <v>4</v>
      </c>
      <c r="K67" s="2" t="n">
        <f aca="false">IFERROR(J67/G67,0)</f>
        <v>1</v>
      </c>
      <c r="L67" s="2" t="s">
        <v>29</v>
      </c>
      <c r="M67" s="2" t="s">
        <v>30</v>
      </c>
      <c r="N67" s="3" t="n">
        <f aca="false">INDEX(Pesos_Dimensiones!$C$2:$C$21,MATCH(B67,Pesos_Dimensiones!$A$2:$A$21,0))</f>
        <v>0</v>
      </c>
      <c r="O67" s="2" t="n">
        <f aca="false">1/COUNTIF($B$2:$B$81,B67)</f>
        <v>0.25</v>
      </c>
      <c r="P67" s="2" t="n">
        <f aca="false">IF(C67="Nucleo",N67*O67,0)</f>
        <v>0</v>
      </c>
      <c r="Q67" s="2" t="n">
        <f aca="false">K67*P67</f>
        <v>0</v>
      </c>
    </row>
    <row r="68" customFormat="false" ht="15" hidden="false" customHeight="false" outlineLevel="0" collapsed="false">
      <c r="A68" s="2" t="s">
        <v>181</v>
      </c>
      <c r="B68" s="2" t="s">
        <v>177</v>
      </c>
      <c r="C68" s="3" t="str">
        <f aca="false">INDEX(Pesos_Dimensiones!$B$2:$B$21,MATCH(B68,Pesos_Dimensiones!$A$2:$A$21,0))</f>
        <v>Contextual</v>
      </c>
      <c r="D68" s="2" t="s">
        <v>182</v>
      </c>
      <c r="E68" s="2" t="s">
        <v>25</v>
      </c>
      <c r="F68" s="2" t="n">
        <v>0</v>
      </c>
      <c r="G68" s="2" t="n">
        <v>3</v>
      </c>
      <c r="H68" s="2" t="s">
        <v>21</v>
      </c>
      <c r="I68" s="4" t="n">
        <v>0</v>
      </c>
      <c r="J68" s="2" t="n">
        <f aca="false">IF(H68="Inverso",G68-I68,I68)</f>
        <v>0</v>
      </c>
      <c r="K68" s="2" t="n">
        <f aca="false">IFERROR(J68/G68,0)</f>
        <v>0</v>
      </c>
      <c r="L68" s="2" t="s">
        <v>29</v>
      </c>
      <c r="M68" s="2" t="s">
        <v>30</v>
      </c>
      <c r="N68" s="3" t="n">
        <f aca="false">INDEX(Pesos_Dimensiones!$C$2:$C$21,MATCH(B68,Pesos_Dimensiones!$A$2:$A$21,0))</f>
        <v>0</v>
      </c>
      <c r="O68" s="2" t="n">
        <f aca="false">1/COUNTIF($B$2:$B$81,B68)</f>
        <v>0.25</v>
      </c>
      <c r="P68" s="2" t="n">
        <f aca="false">IF(C68="Nucleo",N68*O68,0)</f>
        <v>0</v>
      </c>
      <c r="Q68" s="2" t="n">
        <f aca="false">K68*P68</f>
        <v>0</v>
      </c>
    </row>
    <row r="69" customFormat="false" ht="15" hidden="false" customHeight="false" outlineLevel="0" collapsed="false">
      <c r="A69" s="2" t="s">
        <v>183</v>
      </c>
      <c r="B69" s="2" t="s">
        <v>177</v>
      </c>
      <c r="C69" s="3" t="str">
        <f aca="false">INDEX(Pesos_Dimensiones!$B$2:$B$21,MATCH(B69,Pesos_Dimensiones!$A$2:$A$21,0))</f>
        <v>Contextual</v>
      </c>
      <c r="D69" s="2" t="s">
        <v>184</v>
      </c>
      <c r="E69" s="2" t="s">
        <v>33</v>
      </c>
      <c r="F69" s="2" t="n">
        <v>0</v>
      </c>
      <c r="G69" s="2" t="n">
        <v>3</v>
      </c>
      <c r="H69" s="2" t="s">
        <v>34</v>
      </c>
      <c r="I69" s="4" t="n">
        <v>0</v>
      </c>
      <c r="J69" s="2" t="n">
        <f aca="false">IF(H69="Inverso",G69-I69,I69)</f>
        <v>3</v>
      </c>
      <c r="K69" s="2" t="n">
        <f aca="false">IFERROR(J69/G69,0)</f>
        <v>1</v>
      </c>
      <c r="L69" s="2" t="s">
        <v>29</v>
      </c>
      <c r="M69" s="2" t="s">
        <v>30</v>
      </c>
      <c r="N69" s="3" t="n">
        <f aca="false">INDEX(Pesos_Dimensiones!$C$2:$C$21,MATCH(B69,Pesos_Dimensiones!$A$2:$A$21,0))</f>
        <v>0</v>
      </c>
      <c r="O69" s="2" t="n">
        <f aca="false">1/COUNTIF($B$2:$B$81,B69)</f>
        <v>0.25</v>
      </c>
      <c r="P69" s="2" t="n">
        <f aca="false">IF(C69="Nucleo",N69*O69,0)</f>
        <v>0</v>
      </c>
      <c r="Q69" s="2" t="n">
        <f aca="false">K69*P69</f>
        <v>0</v>
      </c>
    </row>
    <row r="70" customFormat="false" ht="15" hidden="false" customHeight="false" outlineLevel="0" collapsed="false">
      <c r="A70" s="2" t="s">
        <v>185</v>
      </c>
      <c r="B70" s="2" t="s">
        <v>186</v>
      </c>
      <c r="C70" s="3" t="str">
        <f aca="false">INDEX(Pesos_Dimensiones!$B$2:$B$21,MATCH(B70,Pesos_Dimensiones!$A$2:$A$21,0))</f>
        <v>Nucleo</v>
      </c>
      <c r="D70" s="2" t="s">
        <v>187</v>
      </c>
      <c r="E70" s="2" t="s">
        <v>20</v>
      </c>
      <c r="F70" s="2" t="n">
        <v>0</v>
      </c>
      <c r="G70" s="2" t="n">
        <v>4</v>
      </c>
      <c r="H70" s="2" t="s">
        <v>21</v>
      </c>
      <c r="I70" s="4" t="n">
        <v>0</v>
      </c>
      <c r="J70" s="2" t="n">
        <f aca="false">IF(H70="Inverso",G70-I70,I70)</f>
        <v>0</v>
      </c>
      <c r="K70" s="2" t="n">
        <f aca="false">IFERROR(J70/G70,0)</f>
        <v>0</v>
      </c>
      <c r="L70" s="2" t="s">
        <v>188</v>
      </c>
      <c r="M70" s="2" t="s">
        <v>23</v>
      </c>
      <c r="N70" s="5" t="n">
        <f aca="false">INDEX(Pesos_Dimensiones!$C$2:$C$21,MATCH(B70,Pesos_Dimensiones!$A$2:$A$21,0))</f>
        <v>0.0833333333333333</v>
      </c>
      <c r="O70" s="2" t="n">
        <f aca="false">1/COUNTIF($B$2:$B$81,B70)</f>
        <v>0.25</v>
      </c>
      <c r="P70" s="2" t="n">
        <f aca="false">IF(C70="Nucleo",N70*O70,0)</f>
        <v>0.0208333333333333</v>
      </c>
      <c r="Q70" s="2" t="n">
        <f aca="false">K70*P70</f>
        <v>0</v>
      </c>
    </row>
    <row r="71" customFormat="false" ht="15" hidden="false" customHeight="false" outlineLevel="0" collapsed="false">
      <c r="A71" s="2" t="s">
        <v>188</v>
      </c>
      <c r="B71" s="2" t="s">
        <v>186</v>
      </c>
      <c r="C71" s="3" t="str">
        <f aca="false">INDEX(Pesos_Dimensiones!$B$2:$B$21,MATCH(B71,Pesos_Dimensiones!$A$2:$A$21,0))</f>
        <v>Nucleo</v>
      </c>
      <c r="D71" s="2" t="s">
        <v>189</v>
      </c>
      <c r="E71" s="2" t="s">
        <v>33</v>
      </c>
      <c r="F71" s="2" t="n">
        <v>0</v>
      </c>
      <c r="G71" s="2" t="n">
        <v>3</v>
      </c>
      <c r="H71" s="2" t="s">
        <v>21</v>
      </c>
      <c r="I71" s="4" t="n">
        <v>0</v>
      </c>
      <c r="J71" s="2" t="n">
        <f aca="false">IF(H71="Inverso",G71-I71,I71)</f>
        <v>0</v>
      </c>
      <c r="K71" s="2" t="n">
        <f aca="false">IFERROR(J71/G71,0)</f>
        <v>0</v>
      </c>
      <c r="L71" s="2" t="s">
        <v>185</v>
      </c>
      <c r="M71" s="2" t="s">
        <v>23</v>
      </c>
      <c r="N71" s="5" t="n">
        <f aca="false">INDEX(Pesos_Dimensiones!$C$2:$C$21,MATCH(B71,Pesos_Dimensiones!$A$2:$A$21,0))</f>
        <v>0.0833333333333333</v>
      </c>
      <c r="O71" s="2" t="n">
        <f aca="false">1/COUNTIF($B$2:$B$81,B71)</f>
        <v>0.25</v>
      </c>
      <c r="P71" s="2" t="n">
        <f aca="false">IF(C71="Nucleo",N71*O71,0)</f>
        <v>0.0208333333333333</v>
      </c>
      <c r="Q71" s="2" t="n">
        <f aca="false">K71*P71</f>
        <v>0</v>
      </c>
    </row>
    <row r="72" customFormat="false" ht="15" hidden="false" customHeight="false" outlineLevel="0" collapsed="false">
      <c r="A72" s="2" t="s">
        <v>190</v>
      </c>
      <c r="B72" s="2" t="s">
        <v>186</v>
      </c>
      <c r="C72" s="3" t="str">
        <f aca="false">INDEX(Pesos_Dimensiones!$B$2:$B$21,MATCH(B72,Pesos_Dimensiones!$A$2:$A$21,0))</f>
        <v>Nucleo</v>
      </c>
      <c r="D72" s="2" t="s">
        <v>191</v>
      </c>
      <c r="E72" s="2" t="s">
        <v>54</v>
      </c>
      <c r="F72" s="2" t="n">
        <v>0</v>
      </c>
      <c r="G72" s="2" t="n">
        <v>3</v>
      </c>
      <c r="H72" s="2" t="s">
        <v>34</v>
      </c>
      <c r="I72" s="4" t="n">
        <v>0</v>
      </c>
      <c r="J72" s="2" t="n">
        <f aca="false">IF(H72="Inverso",G72-I72,I72)</f>
        <v>3</v>
      </c>
      <c r="K72" s="2" t="n">
        <f aca="false">IFERROR(J72/G72,0)</f>
        <v>1</v>
      </c>
      <c r="L72" s="2" t="s">
        <v>29</v>
      </c>
      <c r="M72" s="2" t="s">
        <v>30</v>
      </c>
      <c r="N72" s="5" t="n">
        <f aca="false">INDEX(Pesos_Dimensiones!$C$2:$C$21,MATCH(B72,Pesos_Dimensiones!$A$2:$A$21,0))</f>
        <v>0.0833333333333333</v>
      </c>
      <c r="O72" s="2" t="n">
        <f aca="false">1/COUNTIF($B$2:$B$81,B72)</f>
        <v>0.25</v>
      </c>
      <c r="P72" s="2" t="n">
        <f aca="false">IF(C72="Nucleo",N72*O72,0)</f>
        <v>0.0208333333333333</v>
      </c>
      <c r="Q72" s="2" t="n">
        <f aca="false">K72*P72</f>
        <v>0.0208333333333333</v>
      </c>
    </row>
    <row r="73" customFormat="false" ht="15" hidden="false" customHeight="false" outlineLevel="0" collapsed="false">
      <c r="A73" s="2" t="s">
        <v>192</v>
      </c>
      <c r="B73" s="2" t="s">
        <v>186</v>
      </c>
      <c r="C73" s="3" t="str">
        <f aca="false">INDEX(Pesos_Dimensiones!$B$2:$B$21,MATCH(B73,Pesos_Dimensiones!$A$2:$A$21,0))</f>
        <v>Nucleo</v>
      </c>
      <c r="D73" s="2" t="s">
        <v>193</v>
      </c>
      <c r="E73" s="2" t="s">
        <v>25</v>
      </c>
      <c r="F73" s="2" t="n">
        <v>0</v>
      </c>
      <c r="G73" s="2" t="n">
        <v>3</v>
      </c>
      <c r="H73" s="2" t="s">
        <v>34</v>
      </c>
      <c r="I73" s="4" t="n">
        <v>0</v>
      </c>
      <c r="J73" s="2" t="n">
        <f aca="false">IF(H73="Inverso",G73-I73,I73)</f>
        <v>3</v>
      </c>
      <c r="K73" s="2" t="n">
        <f aca="false">IFERROR(J73/G73,0)</f>
        <v>1</v>
      </c>
      <c r="L73" s="2" t="s">
        <v>29</v>
      </c>
      <c r="M73" s="2" t="s">
        <v>30</v>
      </c>
      <c r="N73" s="5" t="n">
        <f aca="false">INDEX(Pesos_Dimensiones!$C$2:$C$21,MATCH(B73,Pesos_Dimensiones!$A$2:$A$21,0))</f>
        <v>0.0833333333333333</v>
      </c>
      <c r="O73" s="2" t="n">
        <f aca="false">1/COUNTIF($B$2:$B$81,B73)</f>
        <v>0.25</v>
      </c>
      <c r="P73" s="2" t="n">
        <f aca="false">IF(C73="Nucleo",N73*O73,0)</f>
        <v>0.0208333333333333</v>
      </c>
      <c r="Q73" s="2" t="n">
        <f aca="false">K73*P73</f>
        <v>0.0208333333333333</v>
      </c>
    </row>
    <row r="74" customFormat="false" ht="15" hidden="false" customHeight="false" outlineLevel="0" collapsed="false">
      <c r="A74" s="2" t="s">
        <v>194</v>
      </c>
      <c r="B74" s="2" t="s">
        <v>195</v>
      </c>
      <c r="C74" s="3" t="str">
        <f aca="false">INDEX(Pesos_Dimensiones!$B$2:$B$21,MATCH(B74,Pesos_Dimensiones!$A$2:$A$21,0))</f>
        <v>Nucleo</v>
      </c>
      <c r="D74" s="2" t="s">
        <v>196</v>
      </c>
      <c r="E74" s="2" t="s">
        <v>25</v>
      </c>
      <c r="F74" s="2" t="n">
        <v>0</v>
      </c>
      <c r="G74" s="2" t="n">
        <v>3</v>
      </c>
      <c r="H74" s="2" t="s">
        <v>21</v>
      </c>
      <c r="I74" s="4" t="n">
        <v>0</v>
      </c>
      <c r="J74" s="2" t="n">
        <f aca="false">IF(H74="Inverso",G74-I74,I74)</f>
        <v>0</v>
      </c>
      <c r="K74" s="2" t="n">
        <f aca="false">IFERROR(J74/G74,0)</f>
        <v>0</v>
      </c>
      <c r="L74" s="2" t="s">
        <v>197</v>
      </c>
      <c r="M74" s="2" t="s">
        <v>23</v>
      </c>
      <c r="N74" s="5" t="n">
        <f aca="false">INDEX(Pesos_Dimensiones!$C$2:$C$21,MATCH(B74,Pesos_Dimensiones!$A$2:$A$21,0))</f>
        <v>0.0833333333333333</v>
      </c>
      <c r="O74" s="2" t="n">
        <f aca="false">1/COUNTIF($B$2:$B$81,B74)</f>
        <v>0.25</v>
      </c>
      <c r="P74" s="2" t="n">
        <f aca="false">IF(C74="Nucleo",N74*O74,0)</f>
        <v>0.0208333333333333</v>
      </c>
      <c r="Q74" s="2" t="n">
        <f aca="false">K74*P74</f>
        <v>0</v>
      </c>
    </row>
    <row r="75" customFormat="false" ht="15" hidden="false" customHeight="false" outlineLevel="0" collapsed="false">
      <c r="A75" s="2" t="s">
        <v>197</v>
      </c>
      <c r="B75" s="2" t="s">
        <v>195</v>
      </c>
      <c r="C75" s="3" t="str">
        <f aca="false">INDEX(Pesos_Dimensiones!$B$2:$B$21,MATCH(B75,Pesos_Dimensiones!$A$2:$A$21,0))</f>
        <v>Nucleo</v>
      </c>
      <c r="D75" s="2" t="s">
        <v>198</v>
      </c>
      <c r="E75" s="2" t="s">
        <v>54</v>
      </c>
      <c r="F75" s="2" t="n">
        <v>0</v>
      </c>
      <c r="G75" s="2" t="n">
        <v>3</v>
      </c>
      <c r="H75" s="2" t="s">
        <v>34</v>
      </c>
      <c r="I75" s="4" t="n">
        <v>0</v>
      </c>
      <c r="J75" s="2" t="n">
        <f aca="false">IF(H75="Inverso",G75-I75,I75)</f>
        <v>3</v>
      </c>
      <c r="K75" s="2" t="n">
        <f aca="false">IFERROR(J75/G75,0)</f>
        <v>1</v>
      </c>
      <c r="L75" s="2" t="s">
        <v>194</v>
      </c>
      <c r="M75" s="2" t="s">
        <v>23</v>
      </c>
      <c r="N75" s="5" t="n">
        <f aca="false">INDEX(Pesos_Dimensiones!$C$2:$C$21,MATCH(B75,Pesos_Dimensiones!$A$2:$A$21,0))</f>
        <v>0.0833333333333333</v>
      </c>
      <c r="O75" s="2" t="n">
        <f aca="false">1/COUNTIF($B$2:$B$81,B75)</f>
        <v>0.25</v>
      </c>
      <c r="P75" s="2" t="n">
        <f aca="false">IF(C75="Nucleo",N75*O75,0)</f>
        <v>0.0208333333333333</v>
      </c>
      <c r="Q75" s="2" t="n">
        <f aca="false">K75*P75</f>
        <v>0.0208333333333333</v>
      </c>
    </row>
    <row r="76" customFormat="false" ht="15" hidden="false" customHeight="false" outlineLevel="0" collapsed="false">
      <c r="A76" s="2" t="s">
        <v>199</v>
      </c>
      <c r="B76" s="2" t="s">
        <v>195</v>
      </c>
      <c r="C76" s="3" t="str">
        <f aca="false">INDEX(Pesos_Dimensiones!$B$2:$B$21,MATCH(B76,Pesos_Dimensiones!$A$2:$A$21,0))</f>
        <v>Nucleo</v>
      </c>
      <c r="D76" s="2" t="s">
        <v>200</v>
      </c>
      <c r="E76" s="2" t="s">
        <v>20</v>
      </c>
      <c r="F76" s="2" t="n">
        <v>0</v>
      </c>
      <c r="G76" s="2" t="n">
        <v>4</v>
      </c>
      <c r="H76" s="2" t="s">
        <v>21</v>
      </c>
      <c r="I76" s="4" t="n">
        <v>0</v>
      </c>
      <c r="J76" s="2" t="n">
        <f aca="false">IF(H76="Inverso",G76-I76,I76)</f>
        <v>0</v>
      </c>
      <c r="K76" s="2" t="n">
        <f aca="false">IFERROR(J76/G76,0)</f>
        <v>0</v>
      </c>
      <c r="L76" s="2" t="s">
        <v>29</v>
      </c>
      <c r="M76" s="2" t="s">
        <v>30</v>
      </c>
      <c r="N76" s="5" t="n">
        <f aca="false">INDEX(Pesos_Dimensiones!$C$2:$C$21,MATCH(B76,Pesos_Dimensiones!$A$2:$A$21,0))</f>
        <v>0.0833333333333333</v>
      </c>
      <c r="O76" s="2" t="n">
        <f aca="false">1/COUNTIF($B$2:$B$81,B76)</f>
        <v>0.25</v>
      </c>
      <c r="P76" s="2" t="n">
        <f aca="false">IF(C76="Nucleo",N76*O76,0)</f>
        <v>0.0208333333333333</v>
      </c>
      <c r="Q76" s="2" t="n">
        <f aca="false">K76*P76</f>
        <v>0</v>
      </c>
    </row>
    <row r="77" customFormat="false" ht="15" hidden="false" customHeight="false" outlineLevel="0" collapsed="false">
      <c r="A77" s="2" t="s">
        <v>201</v>
      </c>
      <c r="B77" s="2" t="s">
        <v>195</v>
      </c>
      <c r="C77" s="3" t="str">
        <f aca="false">INDEX(Pesos_Dimensiones!$B$2:$B$21,MATCH(B77,Pesos_Dimensiones!$A$2:$A$21,0))</f>
        <v>Nucleo</v>
      </c>
      <c r="D77" s="2" t="s">
        <v>202</v>
      </c>
      <c r="E77" s="2" t="s">
        <v>40</v>
      </c>
      <c r="F77" s="2" t="n">
        <v>0</v>
      </c>
      <c r="G77" s="2" t="n">
        <v>3</v>
      </c>
      <c r="H77" s="2" t="s">
        <v>21</v>
      </c>
      <c r="I77" s="4" t="n">
        <v>0</v>
      </c>
      <c r="J77" s="2" t="n">
        <f aca="false">IF(H77="Inverso",G77-I77,I77)</f>
        <v>0</v>
      </c>
      <c r="K77" s="2" t="n">
        <f aca="false">IFERROR(J77/G77,0)</f>
        <v>0</v>
      </c>
      <c r="L77" s="2" t="s">
        <v>29</v>
      </c>
      <c r="M77" s="2" t="s">
        <v>30</v>
      </c>
      <c r="N77" s="5" t="n">
        <f aca="false">INDEX(Pesos_Dimensiones!$C$2:$C$21,MATCH(B77,Pesos_Dimensiones!$A$2:$A$21,0))</f>
        <v>0.0833333333333333</v>
      </c>
      <c r="O77" s="2" t="n">
        <f aca="false">1/COUNTIF($B$2:$B$81,B77)</f>
        <v>0.25</v>
      </c>
      <c r="P77" s="2" t="n">
        <f aca="false">IF(C77="Nucleo",N77*O77,0)</f>
        <v>0.0208333333333333</v>
      </c>
      <c r="Q77" s="2" t="n">
        <f aca="false">K77*P77</f>
        <v>0</v>
      </c>
    </row>
    <row r="78" customFormat="false" ht="15" hidden="false" customHeight="false" outlineLevel="0" collapsed="false">
      <c r="A78" s="2" t="s">
        <v>203</v>
      </c>
      <c r="B78" s="2" t="s">
        <v>204</v>
      </c>
      <c r="C78" s="3" t="str">
        <f aca="false">INDEX(Pesos_Dimensiones!$B$2:$B$21,MATCH(B78,Pesos_Dimensiones!$A$2:$A$21,0))</f>
        <v>Contextual</v>
      </c>
      <c r="D78" s="2" t="s">
        <v>205</v>
      </c>
      <c r="E78" s="2" t="s">
        <v>206</v>
      </c>
      <c r="F78" s="2" t="n">
        <v>0</v>
      </c>
      <c r="G78" s="2" t="n">
        <v>3</v>
      </c>
      <c r="H78" s="2" t="s">
        <v>34</v>
      </c>
      <c r="I78" s="4" t="n">
        <v>0</v>
      </c>
      <c r="J78" s="2" t="n">
        <f aca="false">IF(H78="Inverso",G78-I78,I78)</f>
        <v>3</v>
      </c>
      <c r="K78" s="2" t="n">
        <f aca="false">IFERROR(J78/G78,0)</f>
        <v>1</v>
      </c>
      <c r="L78" s="2" t="s">
        <v>29</v>
      </c>
      <c r="M78" s="2" t="s">
        <v>30</v>
      </c>
      <c r="N78" s="3" t="n">
        <f aca="false">INDEX(Pesos_Dimensiones!$C$2:$C$21,MATCH(B78,Pesos_Dimensiones!$A$2:$A$21,0))</f>
        <v>0</v>
      </c>
      <c r="O78" s="2" t="n">
        <f aca="false">1/COUNTIF($B$2:$B$81,B78)</f>
        <v>0.25</v>
      </c>
      <c r="P78" s="2" t="n">
        <f aca="false">IF(C78="Nucleo",N78*O78,0)</f>
        <v>0</v>
      </c>
      <c r="Q78" s="2" t="n">
        <f aca="false">K78*P78</f>
        <v>0</v>
      </c>
    </row>
    <row r="79" customFormat="false" ht="15" hidden="false" customHeight="false" outlineLevel="0" collapsed="false">
      <c r="A79" s="2" t="s">
        <v>207</v>
      </c>
      <c r="B79" s="2" t="s">
        <v>204</v>
      </c>
      <c r="C79" s="3" t="str">
        <f aca="false">INDEX(Pesos_Dimensiones!$B$2:$B$21,MATCH(B79,Pesos_Dimensiones!$A$2:$A$21,0))</f>
        <v>Contextual</v>
      </c>
      <c r="D79" s="2" t="s">
        <v>208</v>
      </c>
      <c r="E79" s="2" t="s">
        <v>206</v>
      </c>
      <c r="F79" s="2" t="n">
        <v>0</v>
      </c>
      <c r="G79" s="2" t="n">
        <v>3</v>
      </c>
      <c r="H79" s="2" t="s">
        <v>34</v>
      </c>
      <c r="I79" s="4" t="n">
        <v>0</v>
      </c>
      <c r="J79" s="2" t="n">
        <f aca="false">IF(H79="Inverso",G79-I79,I79)</f>
        <v>3</v>
      </c>
      <c r="K79" s="2" t="n">
        <f aca="false">IFERROR(J79/G79,0)</f>
        <v>1</v>
      </c>
      <c r="L79" s="2" t="s">
        <v>29</v>
      </c>
      <c r="M79" s="2" t="s">
        <v>30</v>
      </c>
      <c r="N79" s="3" t="n">
        <f aca="false">INDEX(Pesos_Dimensiones!$C$2:$C$21,MATCH(B79,Pesos_Dimensiones!$A$2:$A$21,0))</f>
        <v>0</v>
      </c>
      <c r="O79" s="2" t="n">
        <f aca="false">1/COUNTIF($B$2:$B$81,B79)</f>
        <v>0.25</v>
      </c>
      <c r="P79" s="2" t="n">
        <f aca="false">IF(C79="Nucleo",N79*O79,0)</f>
        <v>0</v>
      </c>
      <c r="Q79" s="2" t="n">
        <f aca="false">K79*P79</f>
        <v>0</v>
      </c>
    </row>
    <row r="80" customFormat="false" ht="15" hidden="false" customHeight="false" outlineLevel="0" collapsed="false">
      <c r="A80" s="2" t="s">
        <v>209</v>
      </c>
      <c r="B80" s="2" t="s">
        <v>204</v>
      </c>
      <c r="C80" s="3" t="str">
        <f aca="false">INDEX(Pesos_Dimensiones!$B$2:$B$21,MATCH(B80,Pesos_Dimensiones!$A$2:$A$21,0))</f>
        <v>Contextual</v>
      </c>
      <c r="D80" s="2" t="s">
        <v>210</v>
      </c>
      <c r="E80" s="2" t="s">
        <v>20</v>
      </c>
      <c r="F80" s="2" t="n">
        <v>0</v>
      </c>
      <c r="G80" s="2" t="n">
        <v>4</v>
      </c>
      <c r="H80" s="2" t="s">
        <v>21</v>
      </c>
      <c r="I80" s="4" t="n">
        <v>0</v>
      </c>
      <c r="J80" s="2" t="n">
        <f aca="false">IF(H80="Inverso",G80-I80,I80)</f>
        <v>0</v>
      </c>
      <c r="K80" s="2" t="n">
        <f aca="false">IFERROR(J80/G80,0)</f>
        <v>0</v>
      </c>
      <c r="L80" s="2" t="s">
        <v>29</v>
      </c>
      <c r="M80" s="2" t="s">
        <v>30</v>
      </c>
      <c r="N80" s="3" t="n">
        <f aca="false">INDEX(Pesos_Dimensiones!$C$2:$C$21,MATCH(B80,Pesos_Dimensiones!$A$2:$A$21,0))</f>
        <v>0</v>
      </c>
      <c r="O80" s="2" t="n">
        <f aca="false">1/COUNTIF($B$2:$B$81,B80)</f>
        <v>0.25</v>
      </c>
      <c r="P80" s="2" t="n">
        <f aca="false">IF(C80="Nucleo",N80*O80,0)</f>
        <v>0</v>
      </c>
      <c r="Q80" s="2" t="n">
        <f aca="false">K80*P80</f>
        <v>0</v>
      </c>
    </row>
    <row r="81" customFormat="false" ht="15" hidden="false" customHeight="false" outlineLevel="0" collapsed="false">
      <c r="A81" s="2" t="s">
        <v>211</v>
      </c>
      <c r="B81" s="2" t="s">
        <v>204</v>
      </c>
      <c r="C81" s="3" t="str">
        <f aca="false">INDEX(Pesos_Dimensiones!$B$2:$B$21,MATCH(B81,Pesos_Dimensiones!$A$2:$A$21,0))</f>
        <v>Contextual</v>
      </c>
      <c r="D81" s="2" t="s">
        <v>212</v>
      </c>
      <c r="E81" s="2" t="s">
        <v>206</v>
      </c>
      <c r="F81" s="2" t="n">
        <v>0</v>
      </c>
      <c r="G81" s="2" t="n">
        <v>3</v>
      </c>
      <c r="H81" s="2" t="s">
        <v>34</v>
      </c>
      <c r="I81" s="4" t="n">
        <v>0</v>
      </c>
      <c r="J81" s="2" t="n">
        <f aca="false">IF(H81="Inverso",G81-I81,I81)</f>
        <v>3</v>
      </c>
      <c r="K81" s="2" t="n">
        <f aca="false">IFERROR(J81/G81,0)</f>
        <v>1</v>
      </c>
      <c r="L81" s="2" t="s">
        <v>29</v>
      </c>
      <c r="M81" s="2" t="s">
        <v>30</v>
      </c>
      <c r="N81" s="3" t="n">
        <f aca="false">INDEX(Pesos_Dimensiones!$C$2:$C$21,MATCH(B81,Pesos_Dimensiones!$A$2:$A$21,0))</f>
        <v>0</v>
      </c>
      <c r="O81" s="2" t="n">
        <f aca="false">1/COUNTIF($B$2:$B$81,B81)</f>
        <v>0.25</v>
      </c>
      <c r="P81" s="2" t="n">
        <f aca="false">IF(C81="Nucleo",N81*O81,0)</f>
        <v>0</v>
      </c>
      <c r="Q81" s="2" t="n">
        <f aca="false">K81*P81</f>
        <v>0</v>
      </c>
    </row>
    <row r="83" customFormat="false" ht="15" hidden="false" customHeight="true" outlineLevel="0" collapsed="false">
      <c r="A83" s="6" t="s">
        <v>213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</sheetData>
  <mergeCells count="1">
    <mergeCell ref="A83:Q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26"/>
  </cols>
  <sheetData>
    <row r="1" customFormat="false" ht="35.05" hidden="false" customHeight="false" outlineLevel="0" collapsed="false">
      <c r="A1" s="1" t="s">
        <v>1</v>
      </c>
      <c r="B1" s="1" t="s">
        <v>2</v>
      </c>
      <c r="C1" s="1" t="s">
        <v>214</v>
      </c>
      <c r="D1" s="1" t="s">
        <v>215</v>
      </c>
    </row>
    <row r="2" customFormat="false" ht="15" hidden="false" customHeight="false" outlineLevel="0" collapsed="false">
      <c r="A2" s="2" t="s">
        <v>18</v>
      </c>
      <c r="B2" s="2" t="s">
        <v>216</v>
      </c>
      <c r="C2" s="7" t="n">
        <f aca="false">1/12</f>
        <v>0.0833333333333333</v>
      </c>
      <c r="D2" s="8"/>
    </row>
    <row r="3" customFormat="false" ht="15" hidden="false" customHeight="false" outlineLevel="0" collapsed="false">
      <c r="A3" s="2" t="s">
        <v>36</v>
      </c>
      <c r="B3" s="2" t="s">
        <v>216</v>
      </c>
      <c r="C3" s="7" t="n">
        <f aca="false">1/12</f>
        <v>0.0833333333333333</v>
      </c>
      <c r="D3" s="8"/>
    </row>
    <row r="4" customFormat="false" ht="15" hidden="false" customHeight="false" outlineLevel="0" collapsed="false">
      <c r="A4" s="2" t="s">
        <v>46</v>
      </c>
      <c r="B4" s="2" t="s">
        <v>216</v>
      </c>
      <c r="C4" s="7" t="n">
        <f aca="false">1/12</f>
        <v>0.0833333333333333</v>
      </c>
      <c r="D4" s="8"/>
    </row>
    <row r="5" customFormat="false" ht="15" hidden="false" customHeight="false" outlineLevel="0" collapsed="false">
      <c r="A5" s="2" t="s">
        <v>56</v>
      </c>
      <c r="B5" s="2" t="s">
        <v>216</v>
      </c>
      <c r="C5" s="7" t="n">
        <f aca="false">1/12</f>
        <v>0.0833333333333333</v>
      </c>
      <c r="D5" s="8"/>
    </row>
    <row r="6" customFormat="false" ht="15" hidden="false" customHeight="false" outlineLevel="0" collapsed="false">
      <c r="A6" s="2" t="s">
        <v>65</v>
      </c>
      <c r="B6" s="2" t="s">
        <v>216</v>
      </c>
      <c r="C6" s="7" t="n">
        <f aca="false">1/12</f>
        <v>0.0833333333333333</v>
      </c>
      <c r="D6" s="8"/>
    </row>
    <row r="7" customFormat="false" ht="15" hidden="false" customHeight="false" outlineLevel="0" collapsed="false">
      <c r="A7" s="2" t="s">
        <v>74</v>
      </c>
      <c r="B7" s="2" t="s">
        <v>216</v>
      </c>
      <c r="C7" s="7" t="n">
        <f aca="false">1/12</f>
        <v>0.0833333333333333</v>
      </c>
      <c r="D7" s="8"/>
    </row>
    <row r="8" customFormat="false" ht="15" hidden="false" customHeight="false" outlineLevel="0" collapsed="false">
      <c r="A8" s="2" t="s">
        <v>83</v>
      </c>
      <c r="B8" s="2" t="s">
        <v>216</v>
      </c>
      <c r="C8" s="7" t="n">
        <f aca="false">1/12</f>
        <v>0.0833333333333333</v>
      </c>
      <c r="D8" s="8"/>
    </row>
    <row r="9" customFormat="false" ht="15" hidden="false" customHeight="false" outlineLevel="0" collapsed="false">
      <c r="A9" s="2" t="s">
        <v>92</v>
      </c>
      <c r="B9" s="2" t="s">
        <v>216</v>
      </c>
      <c r="C9" s="7" t="n">
        <f aca="false">1/12</f>
        <v>0.0833333333333333</v>
      </c>
      <c r="D9" s="8"/>
    </row>
    <row r="10" customFormat="false" ht="15" hidden="false" customHeight="false" outlineLevel="0" collapsed="false">
      <c r="A10" s="2" t="s">
        <v>101</v>
      </c>
      <c r="B10" s="2" t="s">
        <v>216</v>
      </c>
      <c r="C10" s="7" t="n">
        <f aca="false">1/12</f>
        <v>0.0833333333333333</v>
      </c>
      <c r="D10" s="8"/>
    </row>
    <row r="11" customFormat="false" ht="15" hidden="false" customHeight="false" outlineLevel="0" collapsed="false">
      <c r="A11" s="2" t="s">
        <v>110</v>
      </c>
      <c r="B11" s="2" t="s">
        <v>216</v>
      </c>
      <c r="C11" s="7" t="n">
        <f aca="false">1/12</f>
        <v>0.0833333333333333</v>
      </c>
      <c r="D11" s="8"/>
    </row>
    <row r="12" customFormat="false" ht="15" hidden="false" customHeight="false" outlineLevel="0" collapsed="false">
      <c r="A12" s="2" t="s">
        <v>120</v>
      </c>
      <c r="B12" s="2" t="s">
        <v>217</v>
      </c>
      <c r="C12" s="8" t="n">
        <v>0</v>
      </c>
      <c r="D12" s="7" t="n">
        <f aca="false">1/8</f>
        <v>0.125</v>
      </c>
    </row>
    <row r="13" customFormat="false" ht="15" hidden="false" customHeight="false" outlineLevel="0" collapsed="false">
      <c r="A13" s="2" t="s">
        <v>130</v>
      </c>
      <c r="B13" s="2" t="s">
        <v>217</v>
      </c>
      <c r="C13" s="8" t="n">
        <v>0</v>
      </c>
      <c r="D13" s="7" t="n">
        <f aca="false">1/8</f>
        <v>0.125</v>
      </c>
    </row>
    <row r="14" customFormat="false" ht="15" hidden="false" customHeight="false" outlineLevel="0" collapsed="false">
      <c r="A14" s="2" t="s">
        <v>139</v>
      </c>
      <c r="B14" s="2" t="s">
        <v>217</v>
      </c>
      <c r="C14" s="8" t="n">
        <v>0</v>
      </c>
      <c r="D14" s="7" t="n">
        <f aca="false">1/8</f>
        <v>0.125</v>
      </c>
    </row>
    <row r="15" customFormat="false" ht="15" hidden="false" customHeight="false" outlineLevel="0" collapsed="false">
      <c r="A15" s="2" t="s">
        <v>149</v>
      </c>
      <c r="B15" s="2" t="s">
        <v>217</v>
      </c>
      <c r="C15" s="8" t="n">
        <v>0</v>
      </c>
      <c r="D15" s="7" t="n">
        <f aca="false">1/8</f>
        <v>0.125</v>
      </c>
    </row>
    <row r="16" customFormat="false" ht="15" hidden="false" customHeight="false" outlineLevel="0" collapsed="false">
      <c r="A16" s="2" t="s">
        <v>159</v>
      </c>
      <c r="B16" s="2" t="s">
        <v>217</v>
      </c>
      <c r="C16" s="8" t="n">
        <v>0</v>
      </c>
      <c r="D16" s="7" t="n">
        <f aca="false">1/8</f>
        <v>0.125</v>
      </c>
    </row>
    <row r="17" customFormat="false" ht="15" hidden="false" customHeight="false" outlineLevel="0" collapsed="false">
      <c r="A17" s="2" t="s">
        <v>168</v>
      </c>
      <c r="B17" s="2" t="s">
        <v>217</v>
      </c>
      <c r="C17" s="8" t="n">
        <v>0</v>
      </c>
      <c r="D17" s="7" t="n">
        <f aca="false">1/8</f>
        <v>0.125</v>
      </c>
    </row>
    <row r="18" customFormat="false" ht="15" hidden="false" customHeight="false" outlineLevel="0" collapsed="false">
      <c r="A18" s="2" t="s">
        <v>177</v>
      </c>
      <c r="B18" s="2" t="s">
        <v>217</v>
      </c>
      <c r="C18" s="8" t="n">
        <v>0</v>
      </c>
      <c r="D18" s="7" t="n">
        <f aca="false">1/8</f>
        <v>0.125</v>
      </c>
    </row>
    <row r="19" customFormat="false" ht="15" hidden="false" customHeight="false" outlineLevel="0" collapsed="false">
      <c r="A19" s="2" t="s">
        <v>186</v>
      </c>
      <c r="B19" s="2" t="s">
        <v>216</v>
      </c>
      <c r="C19" s="7" t="n">
        <f aca="false">1/12</f>
        <v>0.0833333333333333</v>
      </c>
      <c r="D19" s="8"/>
    </row>
    <row r="20" customFormat="false" ht="15" hidden="false" customHeight="false" outlineLevel="0" collapsed="false">
      <c r="A20" s="2" t="s">
        <v>195</v>
      </c>
      <c r="B20" s="2" t="s">
        <v>216</v>
      </c>
      <c r="C20" s="7" t="n">
        <f aca="false">1/12</f>
        <v>0.0833333333333333</v>
      </c>
      <c r="D20" s="8"/>
    </row>
    <row r="21" customFormat="false" ht="15" hidden="false" customHeight="false" outlineLevel="0" collapsed="false">
      <c r="A21" s="2" t="s">
        <v>204</v>
      </c>
      <c r="B21" s="2" t="s">
        <v>217</v>
      </c>
      <c r="C21" s="8" t="n">
        <v>0</v>
      </c>
      <c r="D21" s="7" t="n">
        <f aca="false">1/8</f>
        <v>0.125</v>
      </c>
    </row>
    <row r="23" customFormat="false" ht="15" hidden="false" customHeight="false" outlineLevel="0" collapsed="false">
      <c r="B23" s="9" t="s">
        <v>218</v>
      </c>
      <c r="C23" s="10" t="n">
        <f aca="false">SUM(C2:C21)</f>
        <v>1</v>
      </c>
    </row>
    <row r="24" customFormat="false" ht="15" hidden="false" customHeight="false" outlineLevel="0" collapsed="false">
      <c r="B24" s="9" t="s">
        <v>219</v>
      </c>
      <c r="D24" s="10" t="n">
        <f aca="false">SUM(D2:D21)</f>
        <v>1</v>
      </c>
    </row>
    <row r="26" customFormat="false" ht="15" hidden="false" customHeight="true" outlineLevel="0" collapsed="false">
      <c r="A26" s="6" t="s">
        <v>220</v>
      </c>
      <c r="B26" s="6"/>
      <c r="C26" s="6"/>
      <c r="D26" s="6"/>
    </row>
    <row r="27" customFormat="false" ht="15" hidden="false" customHeight="false" outlineLevel="0" collapsed="false">
      <c r="A27" s="6"/>
      <c r="B27" s="6"/>
      <c r="C27" s="6"/>
      <c r="D27" s="6"/>
    </row>
    <row r="28" customFormat="false" ht="15" hidden="false" customHeight="false" outlineLevel="0" collapsed="false">
      <c r="A28" s="6"/>
      <c r="B28" s="6"/>
      <c r="C28" s="6"/>
      <c r="D28" s="6"/>
    </row>
    <row r="29" customFormat="false" ht="15" hidden="false" customHeight="false" outlineLevel="0" collapsed="false">
      <c r="A29" s="6"/>
      <c r="B29" s="6"/>
      <c r="C29" s="6"/>
      <c r="D29" s="6"/>
    </row>
    <row r="30" customFormat="false" ht="15" hidden="false" customHeight="false" outlineLevel="0" collapsed="false">
      <c r="A30" s="6"/>
      <c r="B30" s="6"/>
      <c r="C30" s="6"/>
      <c r="D30" s="6"/>
    </row>
  </sheetData>
  <mergeCells count="1">
    <mergeCell ref="A26:D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30"/>
  </cols>
  <sheetData>
    <row r="1" customFormat="false" ht="23.85" hidden="false" customHeight="false" outlineLevel="0" collapsed="false">
      <c r="A1" s="1" t="s">
        <v>1</v>
      </c>
      <c r="B1" s="1" t="s">
        <v>2</v>
      </c>
      <c r="C1" s="1" t="s">
        <v>221</v>
      </c>
      <c r="D1" s="1" t="s">
        <v>222</v>
      </c>
      <c r="E1" s="1" t="s">
        <v>223</v>
      </c>
    </row>
    <row r="2" customFormat="false" ht="15" hidden="false" customHeight="false" outlineLevel="0" collapsed="false">
      <c r="A2" s="2" t="s">
        <v>18</v>
      </c>
      <c r="B2" s="2" t="s">
        <v>216</v>
      </c>
      <c r="C2" s="11" t="n">
        <f aca="false">AVERAGEIF(Reactivos!$B$2:$B$81,A2,Reactivos!$K$2:$K$81)</f>
        <v>0.25</v>
      </c>
      <c r="D2" s="5" t="n">
        <f aca="false">INDEX(Pesos_Dimensiones!$C$2:$C$21,MATCH(A2,Pesos_Dimensiones!$A$2:$A$21,0))</f>
        <v>0.0833333333333333</v>
      </c>
      <c r="E2" s="12" t="n">
        <f aca="false">IF(B2="Nucleo",C2*D2,0)</f>
        <v>0.0208333333333333</v>
      </c>
    </row>
    <row r="3" customFormat="false" ht="15" hidden="false" customHeight="false" outlineLevel="0" collapsed="false">
      <c r="A3" s="2" t="s">
        <v>36</v>
      </c>
      <c r="B3" s="2" t="s">
        <v>216</v>
      </c>
      <c r="C3" s="11" t="n">
        <f aca="false">AVERAGEIF(Reactivos!$B$2:$B$81,A3,Reactivos!$K$2:$K$81)</f>
        <v>0</v>
      </c>
      <c r="D3" s="5" t="n">
        <f aca="false">INDEX(Pesos_Dimensiones!$C$2:$C$21,MATCH(A3,Pesos_Dimensiones!$A$2:$A$21,0))</f>
        <v>0.0833333333333333</v>
      </c>
      <c r="E3" s="12" t="n">
        <f aca="false">IF(B3="Nucleo",C3*D3,0)</f>
        <v>0</v>
      </c>
    </row>
    <row r="4" customFormat="false" ht="15" hidden="false" customHeight="false" outlineLevel="0" collapsed="false">
      <c r="A4" s="2" t="s">
        <v>46</v>
      </c>
      <c r="B4" s="2" t="s">
        <v>216</v>
      </c>
      <c r="C4" s="11" t="n">
        <f aca="false">AVERAGEIF(Reactivos!$B$2:$B$81,A4,Reactivos!$K$2:$K$81)</f>
        <v>0.5</v>
      </c>
      <c r="D4" s="5" t="n">
        <f aca="false">INDEX(Pesos_Dimensiones!$C$2:$C$21,MATCH(A4,Pesos_Dimensiones!$A$2:$A$21,0))</f>
        <v>0.0833333333333333</v>
      </c>
      <c r="E4" s="12" t="n">
        <f aca="false">IF(B4="Nucleo",C4*D4,0)</f>
        <v>0.0416666666666667</v>
      </c>
    </row>
    <row r="5" customFormat="false" ht="15" hidden="false" customHeight="false" outlineLevel="0" collapsed="false">
      <c r="A5" s="2" t="s">
        <v>56</v>
      </c>
      <c r="B5" s="2" t="s">
        <v>216</v>
      </c>
      <c r="C5" s="11" t="n">
        <f aca="false">AVERAGEIF(Reactivos!$B$2:$B$81,A5,Reactivos!$K$2:$K$81)</f>
        <v>0.5</v>
      </c>
      <c r="D5" s="5" t="n">
        <f aca="false">INDEX(Pesos_Dimensiones!$C$2:$C$21,MATCH(A5,Pesos_Dimensiones!$A$2:$A$21,0))</f>
        <v>0.0833333333333333</v>
      </c>
      <c r="E5" s="12" t="n">
        <f aca="false">IF(B5="Nucleo",C5*D5,0)</f>
        <v>0.0416666666666667</v>
      </c>
    </row>
    <row r="6" customFormat="false" ht="15" hidden="false" customHeight="false" outlineLevel="0" collapsed="false">
      <c r="A6" s="2" t="s">
        <v>65</v>
      </c>
      <c r="B6" s="2" t="s">
        <v>216</v>
      </c>
      <c r="C6" s="11" t="n">
        <f aca="false">AVERAGEIF(Reactivos!$B$2:$B$81,A6,Reactivos!$K$2:$K$81)</f>
        <v>0.5</v>
      </c>
      <c r="D6" s="5" t="n">
        <f aca="false">INDEX(Pesos_Dimensiones!$C$2:$C$21,MATCH(A6,Pesos_Dimensiones!$A$2:$A$21,0))</f>
        <v>0.0833333333333333</v>
      </c>
      <c r="E6" s="12" t="n">
        <f aca="false">IF(B6="Nucleo",C6*D6,0)</f>
        <v>0.0416666666666667</v>
      </c>
    </row>
    <row r="7" customFormat="false" ht="15" hidden="false" customHeight="false" outlineLevel="0" collapsed="false">
      <c r="A7" s="2" t="s">
        <v>74</v>
      </c>
      <c r="B7" s="2" t="s">
        <v>216</v>
      </c>
      <c r="C7" s="11" t="n">
        <f aca="false">AVERAGEIF(Reactivos!$B$2:$B$81,A7,Reactivos!$K$2:$K$81)</f>
        <v>0.25</v>
      </c>
      <c r="D7" s="5" t="n">
        <f aca="false">INDEX(Pesos_Dimensiones!$C$2:$C$21,MATCH(A7,Pesos_Dimensiones!$A$2:$A$21,0))</f>
        <v>0.0833333333333333</v>
      </c>
      <c r="E7" s="12" t="n">
        <f aca="false">IF(B7="Nucleo",C7*D7,0)</f>
        <v>0.0208333333333333</v>
      </c>
    </row>
    <row r="8" customFormat="false" ht="15" hidden="false" customHeight="false" outlineLevel="0" collapsed="false">
      <c r="A8" s="2" t="s">
        <v>83</v>
      </c>
      <c r="B8" s="2" t="s">
        <v>216</v>
      </c>
      <c r="C8" s="11" t="n">
        <f aca="false">AVERAGEIF(Reactivos!$B$2:$B$81,A8,Reactivos!$K$2:$K$81)</f>
        <v>0</v>
      </c>
      <c r="D8" s="5" t="n">
        <f aca="false">INDEX(Pesos_Dimensiones!$C$2:$C$21,MATCH(A8,Pesos_Dimensiones!$A$2:$A$21,0))</f>
        <v>0.0833333333333333</v>
      </c>
      <c r="E8" s="12" t="n">
        <f aca="false">IF(B8="Nucleo",C8*D8,0)</f>
        <v>0</v>
      </c>
    </row>
    <row r="9" customFormat="false" ht="15" hidden="false" customHeight="false" outlineLevel="0" collapsed="false">
      <c r="A9" s="2" t="s">
        <v>92</v>
      </c>
      <c r="B9" s="2" t="s">
        <v>216</v>
      </c>
      <c r="C9" s="11" t="n">
        <f aca="false">AVERAGEIF(Reactivos!$B$2:$B$81,A9,Reactivos!$K$2:$K$81)</f>
        <v>0.25</v>
      </c>
      <c r="D9" s="5" t="n">
        <f aca="false">INDEX(Pesos_Dimensiones!$C$2:$C$21,MATCH(A9,Pesos_Dimensiones!$A$2:$A$21,0))</f>
        <v>0.0833333333333333</v>
      </c>
      <c r="E9" s="12" t="n">
        <f aca="false">IF(B9="Nucleo",C9*D9,0)</f>
        <v>0.0208333333333333</v>
      </c>
    </row>
    <row r="10" customFormat="false" ht="15" hidden="false" customHeight="false" outlineLevel="0" collapsed="false">
      <c r="A10" s="2" t="s">
        <v>101</v>
      </c>
      <c r="B10" s="2" t="s">
        <v>216</v>
      </c>
      <c r="C10" s="11" t="n">
        <f aca="false">AVERAGEIF(Reactivos!$B$2:$B$81,A10,Reactivos!$K$2:$K$81)</f>
        <v>0</v>
      </c>
      <c r="D10" s="5" t="n">
        <f aca="false">INDEX(Pesos_Dimensiones!$C$2:$C$21,MATCH(A10,Pesos_Dimensiones!$A$2:$A$21,0))</f>
        <v>0.0833333333333333</v>
      </c>
      <c r="E10" s="12" t="n">
        <f aca="false">IF(B10="Nucleo",C10*D10,0)</f>
        <v>0</v>
      </c>
    </row>
    <row r="11" customFormat="false" ht="15" hidden="false" customHeight="false" outlineLevel="0" collapsed="false">
      <c r="A11" s="2" t="s">
        <v>110</v>
      </c>
      <c r="B11" s="2" t="s">
        <v>216</v>
      </c>
      <c r="C11" s="11" t="n">
        <f aca="false">AVERAGEIF(Reactivos!$B$2:$B$81,A11,Reactivos!$K$2:$K$81)</f>
        <v>0.25</v>
      </c>
      <c r="D11" s="5" t="n">
        <f aca="false">INDEX(Pesos_Dimensiones!$C$2:$C$21,MATCH(A11,Pesos_Dimensiones!$A$2:$A$21,0))</f>
        <v>0.0833333333333333</v>
      </c>
      <c r="E11" s="12" t="n">
        <f aca="false">IF(B11="Nucleo",C11*D11,0)</f>
        <v>0.0208333333333333</v>
      </c>
    </row>
    <row r="12" customFormat="false" ht="15" hidden="false" customHeight="false" outlineLevel="0" collapsed="false">
      <c r="A12" s="2" t="s">
        <v>120</v>
      </c>
      <c r="B12" s="2" t="s">
        <v>217</v>
      </c>
      <c r="C12" s="11" t="n">
        <f aca="false">AVERAGEIF(Reactivos!$B$2:$B$81,A12,Reactivos!$K$2:$K$81)</f>
        <v>0.25</v>
      </c>
      <c r="D12" s="5" t="n">
        <f aca="false">INDEX(Pesos_Dimensiones!$C$2:$C$21,MATCH(A12,Pesos_Dimensiones!$A$2:$A$21,0))</f>
        <v>0</v>
      </c>
      <c r="E12" s="12" t="n">
        <f aca="false">IF(B12="Nucleo",C12*D12,0)</f>
        <v>0</v>
      </c>
    </row>
    <row r="13" customFormat="false" ht="15" hidden="false" customHeight="false" outlineLevel="0" collapsed="false">
      <c r="A13" s="2" t="s">
        <v>130</v>
      </c>
      <c r="B13" s="2" t="s">
        <v>217</v>
      </c>
      <c r="C13" s="11" t="n">
        <f aca="false">AVERAGEIF(Reactivos!$B$2:$B$81,A13,Reactivos!$K$2:$K$81)</f>
        <v>0.5</v>
      </c>
      <c r="D13" s="5" t="n">
        <f aca="false">INDEX(Pesos_Dimensiones!$C$2:$C$21,MATCH(A13,Pesos_Dimensiones!$A$2:$A$21,0))</f>
        <v>0</v>
      </c>
      <c r="E13" s="12" t="n">
        <f aca="false">IF(B13="Nucleo",C13*D13,0)</f>
        <v>0</v>
      </c>
    </row>
    <row r="14" customFormat="false" ht="15" hidden="false" customHeight="false" outlineLevel="0" collapsed="false">
      <c r="A14" s="2" t="s">
        <v>139</v>
      </c>
      <c r="B14" s="2" t="s">
        <v>217</v>
      </c>
      <c r="C14" s="11" t="n">
        <f aca="false">AVERAGEIF(Reactivos!$B$2:$B$81,A14,Reactivos!$K$2:$K$81)</f>
        <v>0.25</v>
      </c>
      <c r="D14" s="5" t="n">
        <f aca="false">INDEX(Pesos_Dimensiones!$C$2:$C$21,MATCH(A14,Pesos_Dimensiones!$A$2:$A$21,0))</f>
        <v>0</v>
      </c>
      <c r="E14" s="12" t="n">
        <f aca="false">IF(B14="Nucleo",C14*D14,0)</f>
        <v>0</v>
      </c>
    </row>
    <row r="15" customFormat="false" ht="15" hidden="false" customHeight="false" outlineLevel="0" collapsed="false">
      <c r="A15" s="2" t="s">
        <v>149</v>
      </c>
      <c r="B15" s="2" t="s">
        <v>217</v>
      </c>
      <c r="C15" s="11" t="n">
        <f aca="false">AVERAGEIF(Reactivos!$B$2:$B$81,A15,Reactivos!$K$2:$K$81)</f>
        <v>0.25</v>
      </c>
      <c r="D15" s="5" t="n">
        <f aca="false">INDEX(Pesos_Dimensiones!$C$2:$C$21,MATCH(A15,Pesos_Dimensiones!$A$2:$A$21,0))</f>
        <v>0</v>
      </c>
      <c r="E15" s="12" t="n">
        <f aca="false">IF(B15="Nucleo",C15*D15,0)</f>
        <v>0</v>
      </c>
    </row>
    <row r="16" customFormat="false" ht="15" hidden="false" customHeight="false" outlineLevel="0" collapsed="false">
      <c r="A16" s="2" t="s">
        <v>159</v>
      </c>
      <c r="B16" s="2" t="s">
        <v>217</v>
      </c>
      <c r="C16" s="11" t="n">
        <f aca="false">AVERAGEIF(Reactivos!$B$2:$B$81,A16,Reactivos!$K$2:$K$81)</f>
        <v>0.25</v>
      </c>
      <c r="D16" s="5" t="n">
        <f aca="false">INDEX(Pesos_Dimensiones!$C$2:$C$21,MATCH(A16,Pesos_Dimensiones!$A$2:$A$21,0))</f>
        <v>0</v>
      </c>
      <c r="E16" s="12" t="n">
        <f aca="false">IF(B16="Nucleo",C16*D16,0)</f>
        <v>0</v>
      </c>
    </row>
    <row r="17" customFormat="false" ht="15" hidden="false" customHeight="false" outlineLevel="0" collapsed="false">
      <c r="A17" s="2" t="s">
        <v>168</v>
      </c>
      <c r="B17" s="2" t="s">
        <v>217</v>
      </c>
      <c r="C17" s="11" t="n">
        <f aca="false">AVERAGEIF(Reactivos!$B$2:$B$81,A17,Reactivos!$K$2:$K$81)</f>
        <v>0.25</v>
      </c>
      <c r="D17" s="5" t="n">
        <f aca="false">INDEX(Pesos_Dimensiones!$C$2:$C$21,MATCH(A17,Pesos_Dimensiones!$A$2:$A$21,0))</f>
        <v>0</v>
      </c>
      <c r="E17" s="12" t="n">
        <f aca="false">IF(B17="Nucleo",C17*D17,0)</f>
        <v>0</v>
      </c>
    </row>
    <row r="18" customFormat="false" ht="15" hidden="false" customHeight="false" outlineLevel="0" collapsed="false">
      <c r="A18" s="2" t="s">
        <v>177</v>
      </c>
      <c r="B18" s="2" t="s">
        <v>217</v>
      </c>
      <c r="C18" s="11" t="n">
        <f aca="false">AVERAGEIF(Reactivos!$B$2:$B$81,A18,Reactivos!$K$2:$K$81)</f>
        <v>0.75</v>
      </c>
      <c r="D18" s="5" t="n">
        <f aca="false">INDEX(Pesos_Dimensiones!$C$2:$C$21,MATCH(A18,Pesos_Dimensiones!$A$2:$A$21,0))</f>
        <v>0</v>
      </c>
      <c r="E18" s="12" t="n">
        <f aca="false">IF(B18="Nucleo",C18*D18,0)</f>
        <v>0</v>
      </c>
    </row>
    <row r="19" customFormat="false" ht="15" hidden="false" customHeight="false" outlineLevel="0" collapsed="false">
      <c r="A19" s="2" t="s">
        <v>186</v>
      </c>
      <c r="B19" s="2" t="s">
        <v>216</v>
      </c>
      <c r="C19" s="11" t="n">
        <f aca="false">AVERAGEIF(Reactivos!$B$2:$B$81,A19,Reactivos!$K$2:$K$81)</f>
        <v>0.5</v>
      </c>
      <c r="D19" s="5" t="n">
        <f aca="false">INDEX(Pesos_Dimensiones!$C$2:$C$21,MATCH(A19,Pesos_Dimensiones!$A$2:$A$21,0))</f>
        <v>0.0833333333333333</v>
      </c>
      <c r="E19" s="12" t="n">
        <f aca="false">IF(B19="Nucleo",C19*D19,0)</f>
        <v>0.0416666666666667</v>
      </c>
    </row>
    <row r="20" customFormat="false" ht="15" hidden="false" customHeight="false" outlineLevel="0" collapsed="false">
      <c r="A20" s="2" t="s">
        <v>195</v>
      </c>
      <c r="B20" s="2" t="s">
        <v>216</v>
      </c>
      <c r="C20" s="11" t="n">
        <f aca="false">AVERAGEIF(Reactivos!$B$2:$B$81,A20,Reactivos!$K$2:$K$81)</f>
        <v>0.25</v>
      </c>
      <c r="D20" s="5" t="n">
        <f aca="false">INDEX(Pesos_Dimensiones!$C$2:$C$21,MATCH(A20,Pesos_Dimensiones!$A$2:$A$21,0))</f>
        <v>0.0833333333333333</v>
      </c>
      <c r="E20" s="12" t="n">
        <f aca="false">IF(B20="Nucleo",C20*D20,0)</f>
        <v>0.0208333333333333</v>
      </c>
    </row>
    <row r="21" customFormat="false" ht="15" hidden="false" customHeight="false" outlineLevel="0" collapsed="false">
      <c r="A21" s="2" t="s">
        <v>204</v>
      </c>
      <c r="B21" s="2" t="s">
        <v>217</v>
      </c>
      <c r="C21" s="11" t="n">
        <f aca="false">AVERAGEIF(Reactivos!$B$2:$B$81,A21,Reactivos!$K$2:$K$81)</f>
        <v>0.75</v>
      </c>
      <c r="D21" s="5" t="n">
        <f aca="false">INDEX(Pesos_Dimensiones!$C$2:$C$21,MATCH(A21,Pesos_Dimensiones!$A$2:$A$21,0))</f>
        <v>0</v>
      </c>
      <c r="E21" s="12" t="n">
        <f aca="false">IF(B21="Nucleo",C21*D21,0)</f>
        <v>0</v>
      </c>
    </row>
    <row r="23" customFormat="false" ht="15" hidden="false" customHeight="false" outlineLevel="0" collapsed="false">
      <c r="A23" s="13" t="s">
        <v>224</v>
      </c>
      <c r="E23" s="14" t="n">
        <f aca="false">SUM(E2:E21)</f>
        <v>0.270833333333333</v>
      </c>
    </row>
    <row r="24" customFormat="false" ht="15" hidden="false" customHeight="false" outlineLevel="0" collapsed="false">
      <c r="A24" s="13" t="s">
        <v>225</v>
      </c>
      <c r="E24" s="15" t="n">
        <f aca="false">E23*100</f>
        <v>27.0833333333333</v>
      </c>
    </row>
    <row r="26" customFormat="false" ht="15" hidden="false" customHeight="true" outlineLevel="0" collapsed="false">
      <c r="A26" s="6" t="s">
        <v>226</v>
      </c>
      <c r="B26" s="6"/>
      <c r="C26" s="6"/>
      <c r="D26" s="6"/>
      <c r="E26" s="6"/>
    </row>
    <row r="27" customFormat="false" ht="15" hidden="false" customHeight="false" outlineLevel="0" collapsed="false">
      <c r="A27" s="6"/>
      <c r="B27" s="6"/>
      <c r="C27" s="6"/>
      <c r="D27" s="6"/>
      <c r="E27" s="6"/>
    </row>
    <row r="28" customFormat="false" ht="15" hidden="false" customHeight="false" outlineLevel="0" collapsed="false">
      <c r="A28" s="6"/>
      <c r="B28" s="6"/>
      <c r="C28" s="6"/>
      <c r="D28" s="6"/>
      <c r="E28" s="6"/>
    </row>
    <row r="29" customFormat="false" ht="15" hidden="false" customHeight="false" outlineLevel="0" collapsed="false">
      <c r="A29" s="6"/>
      <c r="B29" s="6"/>
      <c r="C29" s="6"/>
      <c r="D29" s="6"/>
      <c r="E29" s="6"/>
    </row>
    <row r="30" customFormat="false" ht="15" hidden="false" customHeight="false" outlineLevel="0" collapsed="false">
      <c r="A30" s="6"/>
      <c r="B30" s="6"/>
      <c r="C30" s="6"/>
      <c r="D30" s="6"/>
      <c r="E30" s="6"/>
    </row>
    <row r="31" customFormat="false" ht="15" hidden="false" customHeight="false" outlineLevel="0" collapsed="false">
      <c r="A31" s="6"/>
      <c r="B31" s="6"/>
      <c r="C31" s="6"/>
      <c r="D31" s="6"/>
      <c r="E31" s="6"/>
    </row>
    <row r="32" customFormat="false" ht="15" hidden="false" customHeight="false" outlineLevel="0" collapsed="false">
      <c r="A32" s="6"/>
      <c r="B32" s="6"/>
      <c r="C32" s="6"/>
      <c r="D32" s="6"/>
      <c r="E32" s="6"/>
    </row>
  </sheetData>
  <mergeCells count="1">
    <mergeCell ref="A26:E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6" t="s">
        <v>227</v>
      </c>
    </row>
    <row r="3" customFormat="false" ht="15" hidden="false" customHeight="false" outlineLevel="0" collapsed="false">
      <c r="A3" s="17"/>
    </row>
    <row r="4" customFormat="false" ht="15" hidden="false" customHeight="false" outlineLevel="0" collapsed="false">
      <c r="A4" s="18" t="s">
        <v>228</v>
      </c>
    </row>
    <row r="5" customFormat="false" ht="15" hidden="false" customHeight="false" outlineLevel="0" collapsed="false">
      <c r="A5" s="17" t="s">
        <v>229</v>
      </c>
    </row>
    <row r="6" customFormat="false" ht="15" hidden="false" customHeight="false" outlineLevel="0" collapsed="false">
      <c r="A6" s="17"/>
    </row>
    <row r="7" customFormat="false" ht="23.85" hidden="false" customHeight="false" outlineLevel="0" collapsed="false">
      <c r="A7" s="17" t="s">
        <v>230</v>
      </c>
    </row>
    <row r="8" customFormat="false" ht="15" hidden="false" customHeight="false" outlineLevel="0" collapsed="false">
      <c r="A8" s="17"/>
    </row>
    <row r="9" customFormat="false" ht="35.05" hidden="false" customHeight="false" outlineLevel="0" collapsed="false">
      <c r="A9" s="17" t="s">
        <v>231</v>
      </c>
    </row>
    <row r="10" customFormat="false" ht="15" hidden="false" customHeight="false" outlineLevel="0" collapsed="false">
      <c r="A10" s="17"/>
    </row>
    <row r="11" customFormat="false" ht="35.05" hidden="false" customHeight="false" outlineLevel="0" collapsed="false">
      <c r="A11" s="17" t="s">
        <v>232</v>
      </c>
    </row>
    <row r="12" customFormat="false" ht="15" hidden="false" customHeight="false" outlineLevel="0" collapsed="false">
      <c r="A12" s="17"/>
    </row>
    <row r="13" customFormat="false" ht="23.85" hidden="false" customHeight="false" outlineLevel="0" collapsed="false">
      <c r="A13" s="17" t="s">
        <v>233</v>
      </c>
    </row>
    <row r="14" customFormat="false" ht="15" hidden="false" customHeight="false" outlineLevel="0" collapsed="false">
      <c r="A14" s="17"/>
    </row>
    <row r="15" customFormat="false" ht="35.05" hidden="false" customHeight="false" outlineLevel="0" collapsed="false">
      <c r="A15" s="18" t="s">
        <v>234</v>
      </c>
    </row>
    <row r="16" customFormat="false" ht="15" hidden="false" customHeight="false" outlineLevel="0" collapsed="false">
      <c r="A16" s="17"/>
    </row>
    <row r="17" customFormat="false" ht="23.85" hidden="false" customHeight="false" outlineLevel="0" collapsed="false">
      <c r="A17" s="18" t="s">
        <v>235</v>
      </c>
    </row>
    <row r="18" customFormat="false" ht="15" hidden="false" customHeight="false" outlineLevel="0" collapsed="false">
      <c r="A18" s="17"/>
    </row>
    <row r="19" customFormat="false" ht="23.85" hidden="false" customHeight="false" outlineLevel="0" collapsed="false">
      <c r="A19" s="17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2026-09-07T03:28:26Z</dcterms:created>
  <dc:creator>openpyxl</dc:creator>
  <dc:description/>
  <dc:language>en-US</dc:language>
  <cp:lastModifiedBy/>
  <dcterms:modified xsi:type="dcterms:W3CDTF">2026-09-07T03:28:26Z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