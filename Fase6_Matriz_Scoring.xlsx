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ctivos" sheetId="1" state="visible" r:id="rId1"/>
    <sheet xmlns:r="http://schemas.openxmlformats.org/officeDocument/2006/relationships" name="Pesos_Dimensiones" sheetId="2" state="visible" r:id="rId2"/>
    <sheet xmlns:r="http://schemas.openxmlformats.org/officeDocument/2006/relationships" name="Resumen_Dimensiones" sheetId="3" state="visible" r:id="rId3"/>
    <sheet xmlns:r="http://schemas.openxmlformats.org/officeDocument/2006/relationships" name="Niveles_Corte" sheetId="4" state="visible" r:id="rId4"/>
    <sheet xmlns:r="http://schemas.openxmlformats.org/officeDocument/2006/relationships" name="Notas"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i val="1"/>
    </font>
    <font>
      <b val="1"/>
      <sz val="13"/>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2" fillId="0" borderId="0" pivotButton="0" quotePrefix="0" xfId="0"/>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76"/>
  <sheetViews>
    <sheetView workbookViewId="0">
      <selection activeCell="A1" sqref="A1"/>
    </sheetView>
  </sheetViews>
  <sheetFormatPr baseColWidth="8" defaultRowHeight="15"/>
  <cols>
    <col width="7" customWidth="1" min="1" max="1"/>
    <col width="26" customWidth="1" min="2" max="2"/>
    <col width="11" customWidth="1" min="3" max="3"/>
    <col width="34" customWidth="1" min="4" max="4"/>
    <col width="24" customWidth="1" min="5" max="5"/>
    <col width="8" customWidth="1" min="6" max="6"/>
    <col width="8" customWidth="1" min="7" max="7"/>
    <col width="9" customWidth="1" min="8" max="8"/>
    <col width="14" customWidth="1" min="9" max="9"/>
    <col width="12" customWidth="1" min="10" max="10"/>
    <col width="14" customWidth="1" min="11" max="11"/>
    <col width="12" customWidth="1" min="12" max="12"/>
    <col width="12" customWidth="1" min="13" max="13"/>
    <col width="14" customWidth="1" min="14" max="14"/>
    <col width="12" customWidth="1" min="15" max="15"/>
    <col width="14" customWidth="1" min="16" max="16"/>
    <col width="16" customWidth="1" min="17" max="17"/>
  </cols>
  <sheetData>
    <row r="1">
      <c r="A1" s="1" t="inlineStr">
        <is>
          <t>ID</t>
        </is>
      </c>
      <c r="B1" s="1" t="inlineStr">
        <is>
          <t>Dimension</t>
        </is>
      </c>
      <c r="C1" s="1" t="inlineStr">
        <is>
          <t>Grupo</t>
        </is>
      </c>
      <c r="D1" s="1" t="inlineStr">
        <is>
          <t>Subdimension</t>
        </is>
      </c>
      <c r="E1" s="1" t="inlineStr">
        <is>
          <t>Tipo de reactivo</t>
        </is>
      </c>
      <c r="F1" s="1" t="inlineStr">
        <is>
          <t>Valor min crudo</t>
        </is>
      </c>
      <c r="G1" s="1" t="inlineStr">
        <is>
          <t>Valor max crudo</t>
        </is>
      </c>
      <c r="H1" s="1" t="inlineStr">
        <is>
          <t>Direccion</t>
        </is>
      </c>
      <c r="I1" s="1" t="inlineStr">
        <is>
          <t>Respuesta cruda (ejemplo, editable)</t>
        </is>
      </c>
      <c r="J1" s="1" t="inlineStr">
        <is>
          <t>Valor transformado</t>
        </is>
      </c>
      <c r="K1" s="1" t="inlineStr">
        <is>
          <t>Valor normalizado (0-1)</t>
        </is>
      </c>
      <c r="L1" s="1" t="inlineStr">
        <is>
          <t>Par espejo relacionado</t>
        </is>
      </c>
      <c r="M1" s="1" t="inlineStr">
        <is>
          <t>Aplica regla de inconsistencia</t>
        </is>
      </c>
      <c r="N1" s="1" t="inlineStr">
        <is>
          <t>Peso de la dimension (parametrizable)</t>
        </is>
      </c>
      <c r="O1" s="1" t="inlineStr">
        <is>
          <t>Peso del reactivo en su dimension</t>
        </is>
      </c>
      <c r="P1" s="1" t="inlineStr">
        <is>
          <t>Contribucion maxima al indice general</t>
        </is>
      </c>
      <c r="Q1" s="1" t="inlineStr">
        <is>
          <t>Contribucion actual (con respuesta de ejemplo)</t>
        </is>
      </c>
    </row>
    <row r="2">
      <c r="A2" t="inlineStr">
        <is>
          <t>R001</t>
        </is>
      </c>
      <c r="B2" t="inlineStr">
        <is>
          <t>1. Robo</t>
        </is>
      </c>
      <c r="C2">
        <f>INDEX(Pesos_Dimensiones!$B$2:$B$22,MATCH(B2,Pesos_Dimensiones!$A$2:$A$22,0))</f>
        <v/>
      </c>
      <c r="D2" t="inlineStr">
        <is>
          <t>Justificación cognitiva de sustracción de bajo valor</t>
        </is>
      </c>
      <c r="E2" t="inlineStr">
        <is>
          <t>1-Opinión/Actitud</t>
        </is>
      </c>
      <c r="F2" t="n">
        <v>0</v>
      </c>
      <c r="G2" t="n">
        <v>4</v>
      </c>
      <c r="H2" t="inlineStr">
        <is>
          <t>Directo</t>
        </is>
      </c>
      <c r="I2" t="n">
        <v>0</v>
      </c>
      <c r="J2">
        <f>IF(H2="Inverso",G2-I2,I2)</f>
        <v/>
      </c>
      <c r="K2">
        <f>IFERROR(J2/G2,0)</f>
        <v/>
      </c>
      <c r="L2" t="inlineStr">
        <is>
          <t>R002</t>
        </is>
      </c>
      <c r="M2" t="inlineStr">
        <is>
          <t>Si</t>
        </is>
      </c>
      <c r="N2">
        <f>INDEX(Pesos_Dimensiones!$C$2:$C$22,MATCH(B2,Pesos_Dimensiones!$A$2:$A$22,0))</f>
        <v/>
      </c>
      <c r="O2">
        <f>1/COUNTIF($B$2:$B$76,B2)</f>
        <v/>
      </c>
      <c r="P2">
        <f>IF(OR(C2="Base",C2="Adicional"),N2*O2,0)</f>
        <v/>
      </c>
      <c r="Q2">
        <f>K2*P2</f>
        <v/>
      </c>
    </row>
    <row r="3">
      <c r="A3" t="inlineStr">
        <is>
          <t>R002</t>
        </is>
      </c>
      <c r="B3" t="inlineStr">
        <is>
          <t>1. Robo</t>
        </is>
      </c>
      <c r="C3">
        <f>INDEX(Pesos_Dimensiones!$B$2:$B$22,MATCH(B3,Pesos_Dimensiones!$A$2:$A$22,0))</f>
        <v/>
      </c>
      <c r="D3" t="inlineStr">
        <is>
          <t>Involucramiento pasado en apropiación de bienes/dinero</t>
        </is>
      </c>
      <c r="E3" t="inlineStr">
        <is>
          <t>3-Involucramiento pasado</t>
        </is>
      </c>
      <c r="F3" t="n">
        <v>0</v>
      </c>
      <c r="G3" t="n">
        <v>4</v>
      </c>
      <c r="H3" t="inlineStr">
        <is>
          <t>Directo</t>
        </is>
      </c>
      <c r="I3" t="n">
        <v>0</v>
      </c>
      <c r="J3">
        <f>IF(H3="Inverso",G3-I3,I3)</f>
        <v/>
      </c>
      <c r="K3">
        <f>IFERROR(J3/G3,0)</f>
        <v/>
      </c>
      <c r="L3" t="inlineStr">
        <is>
          <t>R001</t>
        </is>
      </c>
      <c r="M3" t="inlineStr">
        <is>
          <t>Si</t>
        </is>
      </c>
      <c r="N3">
        <f>INDEX(Pesos_Dimensiones!$C$2:$C$22,MATCH(B3,Pesos_Dimensiones!$A$2:$A$22,0))</f>
        <v/>
      </c>
      <c r="O3">
        <f>1/COUNTIF($B$2:$B$76,B3)</f>
        <v/>
      </c>
      <c r="P3">
        <f>IF(OR(C3="Base",C3="Adicional"),N3*O3,0)</f>
        <v/>
      </c>
      <c r="Q3">
        <f>K3*P3</f>
        <v/>
      </c>
    </row>
    <row r="4">
      <c r="A4" t="inlineStr">
        <is>
          <t>R003</t>
        </is>
      </c>
      <c r="B4" t="inlineStr">
        <is>
          <t>1. Robo</t>
        </is>
      </c>
      <c r="C4">
        <f>INDEX(Pesos_Dimensiones!$B$2:$B$22,MATCH(B4,Pesos_Dimensiones!$A$2:$A$22,0))</f>
        <v/>
      </c>
      <c r="D4" t="inlineStr">
        <is>
          <t>Disposición a denunciar la sustracción ajena</t>
        </is>
      </c>
      <c r="E4" t="inlineStr">
        <is>
          <t>6-Intención futura</t>
        </is>
      </c>
      <c r="F4" t="n">
        <v>0</v>
      </c>
      <c r="G4" t="n">
        <v>4</v>
      </c>
      <c r="H4" t="inlineStr">
        <is>
          <t>Inverso</t>
        </is>
      </c>
      <c r="I4" t="n">
        <v>0</v>
      </c>
      <c r="J4">
        <f>IF(H4="Inverso",G4-I4,I4)</f>
        <v/>
      </c>
      <c r="K4">
        <f>IFERROR(J4/G4,0)</f>
        <v/>
      </c>
      <c r="L4" t="inlineStr">
        <is>
          <t>N/A</t>
        </is>
      </c>
      <c r="M4" t="inlineStr">
        <is>
          <t>No</t>
        </is>
      </c>
      <c r="N4">
        <f>INDEX(Pesos_Dimensiones!$C$2:$C$22,MATCH(B4,Pesos_Dimensiones!$A$2:$A$22,0))</f>
        <v/>
      </c>
      <c r="O4">
        <f>1/COUNTIF($B$2:$B$76,B4)</f>
        <v/>
      </c>
      <c r="P4">
        <f>IF(OR(C4="Base",C4="Adicional"),N4*O4,0)</f>
        <v/>
      </c>
      <c r="Q4">
        <f>K4*P4</f>
        <v/>
      </c>
    </row>
    <row r="5">
      <c r="A5" t="inlineStr">
        <is>
          <t>R004</t>
        </is>
      </c>
      <c r="B5" t="inlineStr">
        <is>
          <t>1. Robo</t>
        </is>
      </c>
      <c r="C5">
        <f>INDEX(Pesos_Dimensiones!$B$2:$B$22,MATCH(B5,Pesos_Dimensiones!$A$2:$A$22,0))</f>
        <v/>
      </c>
      <c r="D5" t="inlineStr">
        <is>
          <t>Percepción de frecuencia de sustracción entre compañeros</t>
        </is>
      </c>
      <c r="E5" t="inlineStr">
        <is>
          <t>2-Percepción de terceros</t>
        </is>
      </c>
      <c r="F5" t="n">
        <v>0</v>
      </c>
      <c r="G5" t="n">
        <v>3</v>
      </c>
      <c r="H5" t="inlineStr">
        <is>
          <t>Directo</t>
        </is>
      </c>
      <c r="I5" t="n">
        <v>0</v>
      </c>
      <c r="J5">
        <f>IF(H5="Inverso",G5-I5,I5)</f>
        <v/>
      </c>
      <c r="K5">
        <f>IFERROR(J5/G5,0)</f>
        <v/>
      </c>
      <c r="L5" t="inlineStr">
        <is>
          <t>N/A</t>
        </is>
      </c>
      <c r="M5" t="inlineStr">
        <is>
          <t>No</t>
        </is>
      </c>
      <c r="N5">
        <f>INDEX(Pesos_Dimensiones!$C$2:$C$22,MATCH(B5,Pesos_Dimensiones!$A$2:$A$22,0))</f>
        <v/>
      </c>
      <c r="O5">
        <f>1/COUNTIF($B$2:$B$76,B5)</f>
        <v/>
      </c>
      <c r="P5">
        <f>IF(OR(C5="Base",C5="Adicional"),N5*O5,0)</f>
        <v/>
      </c>
      <c r="Q5">
        <f>K5*P5</f>
        <v/>
      </c>
    </row>
    <row r="6">
      <c r="A6" t="inlineStr">
        <is>
          <t>R005</t>
        </is>
      </c>
      <c r="B6" t="inlineStr">
        <is>
          <t>2. Mentira</t>
        </is>
      </c>
      <c r="C6">
        <f>INDEX(Pesos_Dimensiones!$B$2:$B$22,MATCH(B6,Pesos_Dimensiones!$A$2:$A$22,0))</f>
        <v/>
      </c>
      <c r="D6" t="inlineStr">
        <is>
          <t>Aceptación de la mentira instrumental</t>
        </is>
      </c>
      <c r="E6" t="inlineStr">
        <is>
          <t>1-Opinión/Actitud</t>
        </is>
      </c>
      <c r="F6" t="n">
        <v>0</v>
      </c>
      <c r="G6" t="n">
        <v>4</v>
      </c>
      <c r="H6" t="inlineStr">
        <is>
          <t>Directo</t>
        </is>
      </c>
      <c r="I6" t="n">
        <v>0</v>
      </c>
      <c r="J6">
        <f>IF(H6="Inverso",G6-I6,I6)</f>
        <v/>
      </c>
      <c r="K6">
        <f>IFERROR(J6/G6,0)</f>
        <v/>
      </c>
      <c r="L6" t="inlineStr">
        <is>
          <t>R006</t>
        </is>
      </c>
      <c r="M6" t="inlineStr">
        <is>
          <t>Si</t>
        </is>
      </c>
      <c r="N6">
        <f>INDEX(Pesos_Dimensiones!$C$2:$C$22,MATCH(B6,Pesos_Dimensiones!$A$2:$A$22,0))</f>
        <v/>
      </c>
      <c r="O6">
        <f>1/COUNTIF($B$2:$B$76,B6)</f>
        <v/>
      </c>
      <c r="P6">
        <f>IF(OR(C6="Base",C6="Adicional"),N6*O6,0)</f>
        <v/>
      </c>
      <c r="Q6">
        <f>K6*P6</f>
        <v/>
      </c>
    </row>
    <row r="7">
      <c r="A7" t="inlineStr">
        <is>
          <t>R006</t>
        </is>
      </c>
      <c r="B7" t="inlineStr">
        <is>
          <t>2. Mentira</t>
        </is>
      </c>
      <c r="C7">
        <f>INDEX(Pesos_Dimensiones!$B$2:$B$22,MATCH(B7,Pesos_Dimensiones!$A$2:$A$22,0))</f>
        <v/>
      </c>
      <c r="D7" t="inlineStr">
        <is>
          <t>Involucramiento pasado en afirmaciones falsas</t>
        </is>
      </c>
      <c r="E7" t="inlineStr">
        <is>
          <t>3-Involucramiento pasado</t>
        </is>
      </c>
      <c r="F7" t="n">
        <v>0</v>
      </c>
      <c r="G7" t="n">
        <v>4</v>
      </c>
      <c r="H7" t="inlineStr">
        <is>
          <t>Directo</t>
        </is>
      </c>
      <c r="I7" t="n">
        <v>0</v>
      </c>
      <c r="J7">
        <f>IF(H7="Inverso",G7-I7,I7)</f>
        <v/>
      </c>
      <c r="K7">
        <f>IFERROR(J7/G7,0)</f>
        <v/>
      </c>
      <c r="L7" t="inlineStr">
        <is>
          <t>R005</t>
        </is>
      </c>
      <c r="M7" t="inlineStr">
        <is>
          <t>Si</t>
        </is>
      </c>
      <c r="N7">
        <f>INDEX(Pesos_Dimensiones!$C$2:$C$22,MATCH(B7,Pesos_Dimensiones!$A$2:$A$22,0))</f>
        <v/>
      </c>
      <c r="O7">
        <f>1/COUNTIF($B$2:$B$76,B7)</f>
        <v/>
      </c>
      <c r="P7">
        <f>IF(OR(C7="Base",C7="Adicional"),N7*O7,0)</f>
        <v/>
      </c>
      <c r="Q7">
        <f>K7*P7</f>
        <v/>
      </c>
    </row>
    <row r="8">
      <c r="A8" t="inlineStr">
        <is>
          <t>R007</t>
        </is>
      </c>
      <c r="B8" t="inlineStr">
        <is>
          <t>2. Mentira</t>
        </is>
      </c>
      <c r="C8">
        <f>INDEX(Pesos_Dimensiones!$B$2:$B$22,MATCH(B8,Pesos_Dimensiones!$A$2:$A$22,0))</f>
        <v/>
      </c>
      <c r="D8" t="inlineStr">
        <is>
          <t>Valoración de la honestidad ante el error propio</t>
        </is>
      </c>
      <c r="E8" t="inlineStr">
        <is>
          <t>6-Intención futura</t>
        </is>
      </c>
      <c r="F8" t="n">
        <v>0</v>
      </c>
      <c r="G8" t="n">
        <v>4</v>
      </c>
      <c r="H8" t="inlineStr">
        <is>
          <t>Inverso</t>
        </is>
      </c>
      <c r="I8" t="n">
        <v>0</v>
      </c>
      <c r="J8">
        <f>IF(H8="Inverso",G8-I8,I8)</f>
        <v/>
      </c>
      <c r="K8">
        <f>IFERROR(J8/G8,0)</f>
        <v/>
      </c>
      <c r="L8" t="inlineStr">
        <is>
          <t>N/A</t>
        </is>
      </c>
      <c r="M8" t="inlineStr">
        <is>
          <t>No</t>
        </is>
      </c>
      <c r="N8">
        <f>INDEX(Pesos_Dimensiones!$C$2:$C$22,MATCH(B8,Pesos_Dimensiones!$A$2:$A$22,0))</f>
        <v/>
      </c>
      <c r="O8">
        <f>1/COUNTIF($B$2:$B$76,B8)</f>
        <v/>
      </c>
      <c r="P8">
        <f>IF(OR(C8="Base",C8="Adicional"),N8*O8,0)</f>
        <v/>
      </c>
      <c r="Q8">
        <f>K8*P8</f>
        <v/>
      </c>
    </row>
    <row r="9">
      <c r="A9" t="inlineStr">
        <is>
          <t>R008</t>
        </is>
      </c>
      <c r="B9" t="inlineStr">
        <is>
          <t>2. Mentira</t>
        </is>
      </c>
      <c r="C9">
        <f>INDEX(Pesos_Dimensiones!$B$2:$B$22,MATCH(B9,Pesos_Dimensiones!$A$2:$A$22,0))</f>
        <v/>
      </c>
      <c r="D9" t="inlineStr">
        <is>
          <t>Escenario de presión para faltar a la verdad</t>
        </is>
      </c>
      <c r="E9" t="inlineStr">
        <is>
          <t>4-Escenario/dilema</t>
        </is>
      </c>
      <c r="F9" t="n">
        <v>0</v>
      </c>
      <c r="G9" t="n">
        <v>3</v>
      </c>
      <c r="H9" t="inlineStr">
        <is>
          <t>Directo</t>
        </is>
      </c>
      <c r="I9" t="n">
        <v>0</v>
      </c>
      <c r="J9">
        <f>IF(H9="Inverso",G9-I9,I9)</f>
        <v/>
      </c>
      <c r="K9">
        <f>IFERROR(J9/G9,0)</f>
        <v/>
      </c>
      <c r="L9" t="inlineStr">
        <is>
          <t>N/A</t>
        </is>
      </c>
      <c r="M9" t="inlineStr">
        <is>
          <t>No</t>
        </is>
      </c>
      <c r="N9">
        <f>INDEX(Pesos_Dimensiones!$C$2:$C$22,MATCH(B9,Pesos_Dimensiones!$A$2:$A$22,0))</f>
        <v/>
      </c>
      <c r="O9">
        <f>1/COUNTIF($B$2:$B$76,B9)</f>
        <v/>
      </c>
      <c r="P9">
        <f>IF(OR(C9="Base",C9="Adicional"),N9*O9,0)</f>
        <v/>
      </c>
      <c r="Q9">
        <f>K9*P9</f>
        <v/>
      </c>
    </row>
    <row r="10">
      <c r="A10" t="inlineStr">
        <is>
          <t>R009</t>
        </is>
      </c>
      <c r="B10" t="inlineStr">
        <is>
          <t>3. Fraude</t>
        </is>
      </c>
      <c r="C10">
        <f>INDEX(Pesos_Dimensiones!$B$2:$B$22,MATCH(B10,Pesos_Dimensiones!$A$2:$A$22,0))</f>
        <v/>
      </c>
      <c r="D10" t="inlineStr">
        <is>
          <t>Justificación de la alteración de registros</t>
        </is>
      </c>
      <c r="E10" t="inlineStr">
        <is>
          <t>1-Opinión/Actitud</t>
        </is>
      </c>
      <c r="F10" t="n">
        <v>0</v>
      </c>
      <c r="G10" t="n">
        <v>4</v>
      </c>
      <c r="H10" t="inlineStr">
        <is>
          <t>Directo</t>
        </is>
      </c>
      <c r="I10" t="n">
        <v>0</v>
      </c>
      <c r="J10">
        <f>IF(H10="Inverso",G10-I10,I10)</f>
        <v/>
      </c>
      <c r="K10">
        <f>IFERROR(J10/G10,0)</f>
        <v/>
      </c>
      <c r="L10" t="inlineStr">
        <is>
          <t>R010</t>
        </is>
      </c>
      <c r="M10" t="inlineStr">
        <is>
          <t>Si</t>
        </is>
      </c>
      <c r="N10">
        <f>INDEX(Pesos_Dimensiones!$C$2:$C$22,MATCH(B10,Pesos_Dimensiones!$A$2:$A$22,0))</f>
        <v/>
      </c>
      <c r="O10">
        <f>1/COUNTIF($B$2:$B$76,B10)</f>
        <v/>
      </c>
      <c r="P10">
        <f>IF(OR(C10="Base",C10="Adicional"),N10*O10,0)</f>
        <v/>
      </c>
      <c r="Q10">
        <f>K10*P10</f>
        <v/>
      </c>
    </row>
    <row r="11">
      <c r="A11" t="inlineStr">
        <is>
          <t>R010</t>
        </is>
      </c>
      <c r="B11" t="inlineStr">
        <is>
          <t>3. Fraude</t>
        </is>
      </c>
      <c r="C11">
        <f>INDEX(Pesos_Dimensiones!$B$2:$B$22,MATCH(B11,Pesos_Dimensiones!$A$2:$A$22,0))</f>
        <v/>
      </c>
      <c r="D11" t="inlineStr">
        <is>
          <t>Involucramiento pasado en alteración de documentos</t>
        </is>
      </c>
      <c r="E11" t="inlineStr">
        <is>
          <t>3-Involucramiento pasado</t>
        </is>
      </c>
      <c r="F11" t="n">
        <v>0</v>
      </c>
      <c r="G11" t="n">
        <v>4</v>
      </c>
      <c r="H11" t="inlineStr">
        <is>
          <t>Directo</t>
        </is>
      </c>
      <c r="I11" t="n">
        <v>0</v>
      </c>
      <c r="J11">
        <f>IF(H11="Inverso",G11-I11,I11)</f>
        <v/>
      </c>
      <c r="K11">
        <f>IFERROR(J11/G11,0)</f>
        <v/>
      </c>
      <c r="L11" t="inlineStr">
        <is>
          <t>R009</t>
        </is>
      </c>
      <c r="M11" t="inlineStr">
        <is>
          <t>Si</t>
        </is>
      </c>
      <c r="N11">
        <f>INDEX(Pesos_Dimensiones!$C$2:$C$22,MATCH(B11,Pesos_Dimensiones!$A$2:$A$22,0))</f>
        <v/>
      </c>
      <c r="O11">
        <f>1/COUNTIF($B$2:$B$76,B11)</f>
        <v/>
      </c>
      <c r="P11">
        <f>IF(OR(C11="Base",C11="Adicional"),N11*O11,0)</f>
        <v/>
      </c>
      <c r="Q11">
        <f>K11*P11</f>
        <v/>
      </c>
    </row>
    <row r="12">
      <c r="A12" t="inlineStr">
        <is>
          <t>R011</t>
        </is>
      </c>
      <c r="B12" t="inlineStr">
        <is>
          <t>3. Fraude</t>
        </is>
      </c>
      <c r="C12">
        <f>INDEX(Pesos_Dimensiones!$B$2:$B$22,MATCH(B12,Pesos_Dimensiones!$A$2:$A$22,0))</f>
        <v/>
      </c>
      <c r="D12" t="inlineStr">
        <is>
          <t>Disposición a firmar/avalar información propia sin alterar</t>
        </is>
      </c>
      <c r="E12" t="inlineStr">
        <is>
          <t>6-Intención futura</t>
        </is>
      </c>
      <c r="F12" t="n">
        <v>0</v>
      </c>
      <c r="G12" t="n">
        <v>4</v>
      </c>
      <c r="H12" t="inlineStr">
        <is>
          <t>Inverso</t>
        </is>
      </c>
      <c r="I12" t="n">
        <v>0</v>
      </c>
      <c r="J12">
        <f>IF(H12="Inverso",G12-I12,I12)</f>
        <v/>
      </c>
      <c r="K12">
        <f>IFERROR(J12/G12,0)</f>
        <v/>
      </c>
      <c r="L12" t="inlineStr">
        <is>
          <t>N/A</t>
        </is>
      </c>
      <c r="M12" t="inlineStr">
        <is>
          <t>No</t>
        </is>
      </c>
      <c r="N12">
        <f>INDEX(Pesos_Dimensiones!$C$2:$C$22,MATCH(B12,Pesos_Dimensiones!$A$2:$A$22,0))</f>
        <v/>
      </c>
      <c r="O12">
        <f>1/COUNTIF($B$2:$B$76,B12)</f>
        <v/>
      </c>
      <c r="P12">
        <f>IF(OR(C12="Base",C12="Adicional"),N12*O12,0)</f>
        <v/>
      </c>
      <c r="Q12">
        <f>K12*P12</f>
        <v/>
      </c>
    </row>
    <row r="13">
      <c r="A13" t="inlineStr">
        <is>
          <t>R012</t>
        </is>
      </c>
      <c r="B13" t="inlineStr">
        <is>
          <t>3. Fraude</t>
        </is>
      </c>
      <c r="C13">
        <f>INDEX(Pesos_Dimensiones!$B$2:$B$22,MATCH(B13,Pesos_Dimensiones!$A$2:$A$22,0))</f>
        <v/>
      </c>
      <c r="D13" t="inlineStr">
        <is>
          <t>Percepción de tolerancia grupal al fraude</t>
        </is>
      </c>
      <c r="E13" t="inlineStr">
        <is>
          <t>2-Percepción de terceros</t>
        </is>
      </c>
      <c r="F13" t="n">
        <v>0</v>
      </c>
      <c r="G13" t="n">
        <v>3</v>
      </c>
      <c r="H13" t="inlineStr">
        <is>
          <t>Directo</t>
        </is>
      </c>
      <c r="I13" t="n">
        <v>0</v>
      </c>
      <c r="J13">
        <f>IF(H13="Inverso",G13-I13,I13)</f>
        <v/>
      </c>
      <c r="K13">
        <f>IFERROR(J13/G13,0)</f>
        <v/>
      </c>
      <c r="L13" t="inlineStr">
        <is>
          <t>N/A</t>
        </is>
      </c>
      <c r="M13" t="inlineStr">
        <is>
          <t>No</t>
        </is>
      </c>
      <c r="N13">
        <f>INDEX(Pesos_Dimensiones!$C$2:$C$22,MATCH(B13,Pesos_Dimensiones!$A$2:$A$22,0))</f>
        <v/>
      </c>
      <c r="O13">
        <f>1/COUNTIF($B$2:$B$76,B13)</f>
        <v/>
      </c>
      <c r="P13">
        <f>IF(OR(C13="Base",C13="Adicional"),N13*O13,0)</f>
        <v/>
      </c>
      <c r="Q13">
        <f>K13*P13</f>
        <v/>
      </c>
    </row>
    <row r="14">
      <c r="A14" t="inlineStr">
        <is>
          <t>R013</t>
        </is>
      </c>
      <c r="B14" t="inlineStr">
        <is>
          <t>4. Irresponsabilidad</t>
        </is>
      </c>
      <c r="C14">
        <f>INDEX(Pesos_Dimensiones!$B$2:$B$22,MATCH(B14,Pesos_Dimensiones!$A$2:$A$22,0))</f>
        <v/>
      </c>
      <c r="D14" t="inlineStr">
        <is>
          <t>Atribución externa del error propio</t>
        </is>
      </c>
      <c r="E14" t="inlineStr">
        <is>
          <t>1-Opinión/Actitud</t>
        </is>
      </c>
      <c r="F14" t="n">
        <v>0</v>
      </c>
      <c r="G14" t="n">
        <v>4</v>
      </c>
      <c r="H14" t="inlineStr">
        <is>
          <t>Directo</t>
        </is>
      </c>
      <c r="I14" t="n">
        <v>0</v>
      </c>
      <c r="J14">
        <f>IF(H14="Inverso",G14-I14,I14)</f>
        <v/>
      </c>
      <c r="K14">
        <f>IFERROR(J14/G14,0)</f>
        <v/>
      </c>
      <c r="L14" t="inlineStr">
        <is>
          <t>R014</t>
        </is>
      </c>
      <c r="M14" t="inlineStr">
        <is>
          <t>Si</t>
        </is>
      </c>
      <c r="N14">
        <f>INDEX(Pesos_Dimensiones!$C$2:$C$22,MATCH(B14,Pesos_Dimensiones!$A$2:$A$22,0))</f>
        <v/>
      </c>
      <c r="O14">
        <f>1/COUNTIF($B$2:$B$76,B14)</f>
        <v/>
      </c>
      <c r="P14">
        <f>IF(OR(C14="Base",C14="Adicional"),N14*O14,0)</f>
        <v/>
      </c>
      <c r="Q14">
        <f>K14*P14</f>
        <v/>
      </c>
    </row>
    <row r="15">
      <c r="A15" t="inlineStr">
        <is>
          <t>R014</t>
        </is>
      </c>
      <c r="B15" t="inlineStr">
        <is>
          <t>4. Irresponsabilidad</t>
        </is>
      </c>
      <c r="C15">
        <f>INDEX(Pesos_Dimensiones!$B$2:$B$22,MATCH(B15,Pesos_Dimensiones!$A$2:$A$22,0))</f>
        <v/>
      </c>
      <c r="D15" t="inlineStr">
        <is>
          <t>Involucramiento pasado en evasión de compromisos</t>
        </is>
      </c>
      <c r="E15" t="inlineStr">
        <is>
          <t>3-Involucramiento pasado</t>
        </is>
      </c>
      <c r="F15" t="n">
        <v>0</v>
      </c>
      <c r="G15" t="n">
        <v>4</v>
      </c>
      <c r="H15" t="inlineStr">
        <is>
          <t>Directo</t>
        </is>
      </c>
      <c r="I15" t="n">
        <v>0</v>
      </c>
      <c r="J15">
        <f>IF(H15="Inverso",G15-I15,I15)</f>
        <v/>
      </c>
      <c r="K15">
        <f>IFERROR(J15/G15,0)</f>
        <v/>
      </c>
      <c r="L15" t="inlineStr">
        <is>
          <t>R013</t>
        </is>
      </c>
      <c r="M15" t="inlineStr">
        <is>
          <t>Si</t>
        </is>
      </c>
      <c r="N15">
        <f>INDEX(Pesos_Dimensiones!$C$2:$C$22,MATCH(B15,Pesos_Dimensiones!$A$2:$A$22,0))</f>
        <v/>
      </c>
      <c r="O15">
        <f>1/COUNTIF($B$2:$B$76,B15)</f>
        <v/>
      </c>
      <c r="P15">
        <f>IF(OR(C15="Base",C15="Adicional"),N15*O15,0)</f>
        <v/>
      </c>
      <c r="Q15">
        <f>K15*P15</f>
        <v/>
      </c>
    </row>
    <row r="16">
      <c r="A16" t="inlineStr">
        <is>
          <t>R015</t>
        </is>
      </c>
      <c r="B16" t="inlineStr">
        <is>
          <t>4. Irresponsabilidad</t>
        </is>
      </c>
      <c r="C16">
        <f>INDEX(Pesos_Dimensiones!$B$2:$B$22,MATCH(B16,Pesos_Dimensiones!$A$2:$A$22,0))</f>
        <v/>
      </c>
      <c r="D16" t="inlineStr">
        <is>
          <t>Disposición a asumir consecuencias del propio error</t>
        </is>
      </c>
      <c r="E16" t="inlineStr">
        <is>
          <t>6-Intención futura</t>
        </is>
      </c>
      <c r="F16" t="n">
        <v>0</v>
      </c>
      <c r="G16" t="n">
        <v>4</v>
      </c>
      <c r="H16" t="inlineStr">
        <is>
          <t>Inverso</t>
        </is>
      </c>
      <c r="I16" t="n">
        <v>0</v>
      </c>
      <c r="J16">
        <f>IF(H16="Inverso",G16-I16,I16)</f>
        <v/>
      </c>
      <c r="K16">
        <f>IFERROR(J16/G16,0)</f>
        <v/>
      </c>
      <c r="L16" t="inlineStr">
        <is>
          <t>N/A</t>
        </is>
      </c>
      <c r="M16" t="inlineStr">
        <is>
          <t>No</t>
        </is>
      </c>
      <c r="N16">
        <f>INDEX(Pesos_Dimensiones!$C$2:$C$22,MATCH(B16,Pesos_Dimensiones!$A$2:$A$22,0))</f>
        <v/>
      </c>
      <c r="O16">
        <f>1/COUNTIF($B$2:$B$76,B16)</f>
        <v/>
      </c>
      <c r="P16">
        <f>IF(OR(C16="Base",C16="Adicional"),N16*O16,0)</f>
        <v/>
      </c>
      <c r="Q16">
        <f>K16*P16</f>
        <v/>
      </c>
    </row>
    <row r="17">
      <c r="A17" t="inlineStr">
        <is>
          <t>R016</t>
        </is>
      </c>
      <c r="B17" t="inlineStr">
        <is>
          <t>4. Irresponsabilidad</t>
        </is>
      </c>
      <c r="C17">
        <f>INDEX(Pesos_Dimensiones!$B$2:$B$22,MATCH(B17,Pesos_Dimensiones!$A$2:$A$22,0))</f>
        <v/>
      </c>
      <c r="D17" t="inlineStr">
        <is>
          <t>Escenario de seguimiento a un compromiso pendiente</t>
        </is>
      </c>
      <c r="E17" t="inlineStr">
        <is>
          <t>4-Escenario/dilema</t>
        </is>
      </c>
      <c r="F17" t="n">
        <v>0</v>
      </c>
      <c r="G17" t="n">
        <v>3</v>
      </c>
      <c r="H17" t="inlineStr">
        <is>
          <t>Directo</t>
        </is>
      </c>
      <c r="I17" t="n">
        <v>0</v>
      </c>
      <c r="J17">
        <f>IF(H17="Inverso",G17-I17,I17)</f>
        <v/>
      </c>
      <c r="K17">
        <f>IFERROR(J17/G17,0)</f>
        <v/>
      </c>
      <c r="L17" t="inlineStr">
        <is>
          <t>N/A</t>
        </is>
      </c>
      <c r="M17" t="inlineStr">
        <is>
          <t>No</t>
        </is>
      </c>
      <c r="N17">
        <f>INDEX(Pesos_Dimensiones!$C$2:$C$22,MATCH(B17,Pesos_Dimensiones!$A$2:$A$22,0))</f>
        <v/>
      </c>
      <c r="O17">
        <f>1/COUNTIF($B$2:$B$76,B17)</f>
        <v/>
      </c>
      <c r="P17">
        <f>IF(OR(C17="Base",C17="Adicional"),N17*O17,0)</f>
        <v/>
      </c>
      <c r="Q17">
        <f>K17*P17</f>
        <v/>
      </c>
    </row>
    <row r="18">
      <c r="A18" t="inlineStr">
        <is>
          <t>R017</t>
        </is>
      </c>
      <c r="B18" t="inlineStr">
        <is>
          <t>5. Soborno</t>
        </is>
      </c>
      <c r="C18">
        <f>INDEX(Pesos_Dimensiones!$B$2:$B$22,MATCH(B18,Pesos_Dimensiones!$A$2:$A$22,0))</f>
        <v/>
      </c>
      <c r="D18" t="inlineStr">
        <is>
          <t>Normalización del soborno</t>
        </is>
      </c>
      <c r="E18" t="inlineStr">
        <is>
          <t>1-Opinión/Actitud</t>
        </is>
      </c>
      <c r="F18" t="n">
        <v>0</v>
      </c>
      <c r="G18" t="n">
        <v>4</v>
      </c>
      <c r="H18" t="inlineStr">
        <is>
          <t>Directo</t>
        </is>
      </c>
      <c r="I18" t="n">
        <v>0</v>
      </c>
      <c r="J18">
        <f>IF(H18="Inverso",G18-I18,I18)</f>
        <v/>
      </c>
      <c r="K18">
        <f>IFERROR(J18/G18,0)</f>
        <v/>
      </c>
      <c r="L18" t="inlineStr">
        <is>
          <t>R018</t>
        </is>
      </c>
      <c r="M18" t="inlineStr">
        <is>
          <t>Si</t>
        </is>
      </c>
      <c r="N18">
        <f>INDEX(Pesos_Dimensiones!$C$2:$C$22,MATCH(B18,Pesos_Dimensiones!$A$2:$A$22,0))</f>
        <v/>
      </c>
      <c r="O18">
        <f>1/COUNTIF($B$2:$B$76,B18)</f>
        <v/>
      </c>
      <c r="P18">
        <f>IF(OR(C18="Base",C18="Adicional"),N18*O18,0)</f>
        <v/>
      </c>
      <c r="Q18">
        <f>K18*P18</f>
        <v/>
      </c>
    </row>
    <row r="19">
      <c r="A19" t="inlineStr">
        <is>
          <t>R018</t>
        </is>
      </c>
      <c r="B19" t="inlineStr">
        <is>
          <t>5. Soborno</t>
        </is>
      </c>
      <c r="C19">
        <f>INDEX(Pesos_Dimensiones!$B$2:$B$22,MATCH(B19,Pesos_Dimensiones!$A$2:$A$22,0))</f>
        <v/>
      </c>
      <c r="D19" t="inlineStr">
        <is>
          <t>Involucramiento pasado en dar/recibir beneficios condicionados</t>
        </is>
      </c>
      <c r="E19" t="inlineStr">
        <is>
          <t>3-Involucramiento pasado</t>
        </is>
      </c>
      <c r="F19" t="n">
        <v>0</v>
      </c>
      <c r="G19" t="n">
        <v>4</v>
      </c>
      <c r="H19" t="inlineStr">
        <is>
          <t>Directo</t>
        </is>
      </c>
      <c r="I19" t="n">
        <v>0</v>
      </c>
      <c r="J19">
        <f>IF(H19="Inverso",G19-I19,I19)</f>
        <v/>
      </c>
      <c r="K19">
        <f>IFERROR(J19/G19,0)</f>
        <v/>
      </c>
      <c r="L19" t="inlineStr">
        <is>
          <t>R017</t>
        </is>
      </c>
      <c r="M19" t="inlineStr">
        <is>
          <t>Si</t>
        </is>
      </c>
      <c r="N19">
        <f>INDEX(Pesos_Dimensiones!$C$2:$C$22,MATCH(B19,Pesos_Dimensiones!$A$2:$A$22,0))</f>
        <v/>
      </c>
      <c r="O19">
        <f>1/COUNTIF($B$2:$B$76,B19)</f>
        <v/>
      </c>
      <c r="P19">
        <f>IF(OR(C19="Base",C19="Adicional"),N19*O19,0)</f>
        <v/>
      </c>
      <c r="Q19">
        <f>K19*P19</f>
        <v/>
      </c>
    </row>
    <row r="20">
      <c r="A20" t="inlineStr">
        <is>
          <t>R019</t>
        </is>
      </c>
      <c r="B20" t="inlineStr">
        <is>
          <t>5. Soborno</t>
        </is>
      </c>
      <c r="C20">
        <f>INDEX(Pesos_Dimensiones!$B$2:$B$22,MATCH(B20,Pesos_Dimensiones!$A$2:$A$22,0))</f>
        <v/>
      </c>
      <c r="D20" t="inlineStr">
        <is>
          <t>Disposición a rechazar un beneficio condicionado</t>
        </is>
      </c>
      <c r="E20" t="inlineStr">
        <is>
          <t>6-Intención futura</t>
        </is>
      </c>
      <c r="F20" t="n">
        <v>0</v>
      </c>
      <c r="G20" t="n">
        <v>4</v>
      </c>
      <c r="H20" t="inlineStr">
        <is>
          <t>Inverso</t>
        </is>
      </c>
      <c r="I20" t="n">
        <v>0</v>
      </c>
      <c r="J20">
        <f>IF(H20="Inverso",G20-I20,I20)</f>
        <v/>
      </c>
      <c r="K20">
        <f>IFERROR(J20/G20,0)</f>
        <v/>
      </c>
      <c r="L20" t="inlineStr">
        <is>
          <t>N/A</t>
        </is>
      </c>
      <c r="M20" t="inlineStr">
        <is>
          <t>No</t>
        </is>
      </c>
      <c r="N20">
        <f>INDEX(Pesos_Dimensiones!$C$2:$C$22,MATCH(B20,Pesos_Dimensiones!$A$2:$A$22,0))</f>
        <v/>
      </c>
      <c r="O20">
        <f>1/COUNTIF($B$2:$B$76,B20)</f>
        <v/>
      </c>
      <c r="P20">
        <f>IF(OR(C20="Base",C20="Adicional"),N20*O20,0)</f>
        <v/>
      </c>
      <c r="Q20">
        <f>K20*P20</f>
        <v/>
      </c>
    </row>
    <row r="21">
      <c r="A21" t="inlineStr">
        <is>
          <t>R020</t>
        </is>
      </c>
      <c r="B21" t="inlineStr">
        <is>
          <t>5. Soborno</t>
        </is>
      </c>
      <c r="C21">
        <f>INDEX(Pesos_Dimensiones!$B$2:$B$22,MATCH(B21,Pesos_Dimensiones!$A$2:$A$22,0))</f>
        <v/>
      </c>
      <c r="D21" t="inlineStr">
        <is>
          <t>Percepción de riesgo de sanción por soborno</t>
        </is>
      </c>
      <c r="E21" t="inlineStr">
        <is>
          <t>2-Percepción de terceros</t>
        </is>
      </c>
      <c r="F21" t="n">
        <v>0</v>
      </c>
      <c r="G21" t="n">
        <v>3</v>
      </c>
      <c r="H21" t="inlineStr">
        <is>
          <t>Directo</t>
        </is>
      </c>
      <c r="I21" t="n">
        <v>0</v>
      </c>
      <c r="J21">
        <f>IF(H21="Inverso",G21-I21,I21)</f>
        <v/>
      </c>
      <c r="K21">
        <f>IFERROR(J21/G21,0)</f>
        <v/>
      </c>
      <c r="L21" t="inlineStr">
        <is>
          <t>N/A</t>
        </is>
      </c>
      <c r="M21" t="inlineStr">
        <is>
          <t>No</t>
        </is>
      </c>
      <c r="N21">
        <f>INDEX(Pesos_Dimensiones!$C$2:$C$22,MATCH(B21,Pesos_Dimensiones!$A$2:$A$22,0))</f>
        <v/>
      </c>
      <c r="O21">
        <f>1/COUNTIF($B$2:$B$76,B21)</f>
        <v/>
      </c>
      <c r="P21">
        <f>IF(OR(C21="Base",C21="Adicional"),N21*O21,0)</f>
        <v/>
      </c>
      <c r="Q21">
        <f>K21*P21</f>
        <v/>
      </c>
    </row>
    <row r="22">
      <c r="A22" t="inlineStr">
        <is>
          <t>R021</t>
        </is>
      </c>
      <c r="B22" t="inlineStr">
        <is>
          <t>6. Deslealtad</t>
        </is>
      </c>
      <c r="C22">
        <f>INDEX(Pesos_Dimensiones!$B$2:$B$22,MATCH(B22,Pesos_Dimensiones!$A$2:$A$22,0))</f>
        <v/>
      </c>
      <c r="D22" t="inlineStr">
        <is>
          <t>Actitud favorable a divulgar información interna</t>
        </is>
      </c>
      <c r="E22" t="inlineStr">
        <is>
          <t>1-Opinión/Actitud</t>
        </is>
      </c>
      <c r="F22" t="n">
        <v>0</v>
      </c>
      <c r="G22" t="n">
        <v>4</v>
      </c>
      <c r="H22" t="inlineStr">
        <is>
          <t>Directo</t>
        </is>
      </c>
      <c r="I22" t="n">
        <v>0</v>
      </c>
      <c r="J22">
        <f>IF(H22="Inverso",G22-I22,I22)</f>
        <v/>
      </c>
      <c r="K22">
        <f>IFERROR(J22/G22,0)</f>
        <v/>
      </c>
      <c r="L22" t="inlineStr">
        <is>
          <t>R022</t>
        </is>
      </c>
      <c r="M22" t="inlineStr">
        <is>
          <t>Si</t>
        </is>
      </c>
      <c r="N22">
        <f>INDEX(Pesos_Dimensiones!$C$2:$C$22,MATCH(B22,Pesos_Dimensiones!$A$2:$A$22,0))</f>
        <v/>
      </c>
      <c r="O22">
        <f>1/COUNTIF($B$2:$B$76,B22)</f>
        <v/>
      </c>
      <c r="P22">
        <f>IF(OR(C22="Base",C22="Adicional"),N22*O22,0)</f>
        <v/>
      </c>
      <c r="Q22">
        <f>K22*P22</f>
        <v/>
      </c>
    </row>
    <row r="23">
      <c r="A23" t="inlineStr">
        <is>
          <t>R022</t>
        </is>
      </c>
      <c r="B23" t="inlineStr">
        <is>
          <t>6. Deslealtad</t>
        </is>
      </c>
      <c r="C23">
        <f>INDEX(Pesos_Dimensiones!$B$2:$B$22,MATCH(B23,Pesos_Dimensiones!$A$2:$A$22,0))</f>
        <v/>
      </c>
      <c r="D23" t="inlineStr">
        <is>
          <t>Involucramiento pasado en acciones contra la organización</t>
        </is>
      </c>
      <c r="E23" t="inlineStr">
        <is>
          <t>3-Involucramiento pasado</t>
        </is>
      </c>
      <c r="F23" t="n">
        <v>0</v>
      </c>
      <c r="G23" t="n">
        <v>4</v>
      </c>
      <c r="H23" t="inlineStr">
        <is>
          <t>Directo</t>
        </is>
      </c>
      <c r="I23" t="n">
        <v>0</v>
      </c>
      <c r="J23">
        <f>IF(H23="Inverso",G23-I23,I23)</f>
        <v/>
      </c>
      <c r="K23">
        <f>IFERROR(J23/G23,0)</f>
        <v/>
      </c>
      <c r="L23" t="inlineStr">
        <is>
          <t>R021</t>
        </is>
      </c>
      <c r="M23" t="inlineStr">
        <is>
          <t>Si</t>
        </is>
      </c>
      <c r="N23">
        <f>INDEX(Pesos_Dimensiones!$C$2:$C$22,MATCH(B23,Pesos_Dimensiones!$A$2:$A$22,0))</f>
        <v/>
      </c>
      <c r="O23">
        <f>1/COUNTIF($B$2:$B$76,B23)</f>
        <v/>
      </c>
      <c r="P23">
        <f>IF(OR(C23="Base",C23="Adicional"),N23*O23,0)</f>
        <v/>
      </c>
      <c r="Q23">
        <f>K23*P23</f>
        <v/>
      </c>
    </row>
    <row r="24">
      <c r="A24" t="inlineStr">
        <is>
          <t>R023</t>
        </is>
      </c>
      <c r="B24" t="inlineStr">
        <is>
          <t>6. Deslealtad</t>
        </is>
      </c>
      <c r="C24">
        <f>INDEX(Pesos_Dimensiones!$B$2:$B$22,MATCH(B24,Pesos_Dimensiones!$A$2:$A$22,0))</f>
        <v/>
      </c>
      <c r="D24" t="inlineStr">
        <is>
          <t>Disposición a proteger los intereses de la organización</t>
        </is>
      </c>
      <c r="E24" t="inlineStr">
        <is>
          <t>6-Intención futura</t>
        </is>
      </c>
      <c r="F24" t="n">
        <v>0</v>
      </c>
      <c r="G24" t="n">
        <v>4</v>
      </c>
      <c r="H24" t="inlineStr">
        <is>
          <t>Inverso</t>
        </is>
      </c>
      <c r="I24" t="n">
        <v>0</v>
      </c>
      <c r="J24">
        <f>IF(H24="Inverso",G24-I24,I24)</f>
        <v/>
      </c>
      <c r="K24">
        <f>IFERROR(J24/G24,0)</f>
        <v/>
      </c>
      <c r="L24" t="inlineStr">
        <is>
          <t>N/A</t>
        </is>
      </c>
      <c r="M24" t="inlineStr">
        <is>
          <t>No</t>
        </is>
      </c>
      <c r="N24">
        <f>INDEX(Pesos_Dimensiones!$C$2:$C$22,MATCH(B24,Pesos_Dimensiones!$A$2:$A$22,0))</f>
        <v/>
      </c>
      <c r="O24">
        <f>1/COUNTIF($B$2:$B$76,B24)</f>
        <v/>
      </c>
      <c r="P24">
        <f>IF(OR(C24="Base",C24="Adicional"),N24*O24,0)</f>
        <v/>
      </c>
      <c r="Q24">
        <f>K24*P24</f>
        <v/>
      </c>
    </row>
    <row r="25">
      <c r="A25" t="inlineStr">
        <is>
          <t>R024</t>
        </is>
      </c>
      <c r="B25" t="inlineStr">
        <is>
          <t>6. Deslealtad</t>
        </is>
      </c>
      <c r="C25">
        <f>INDEX(Pesos_Dimensiones!$B$2:$B$22,MATCH(B25,Pesos_Dimensiones!$A$2:$A$22,0))</f>
        <v/>
      </c>
      <c r="D25" t="inlineStr">
        <is>
          <t>Escenario de conflicto entre lealtad e interés propio</t>
        </is>
      </c>
      <c r="E25" t="inlineStr">
        <is>
          <t>4-Escenario/dilema</t>
        </is>
      </c>
      <c r="F25" t="n">
        <v>0</v>
      </c>
      <c r="G25" t="n">
        <v>3</v>
      </c>
      <c r="H25" t="inlineStr">
        <is>
          <t>Directo</t>
        </is>
      </c>
      <c r="I25" t="n">
        <v>0</v>
      </c>
      <c r="J25">
        <f>IF(H25="Inverso",G25-I25,I25)</f>
        <v/>
      </c>
      <c r="K25">
        <f>IFERROR(J25/G25,0)</f>
        <v/>
      </c>
      <c r="L25" t="inlineStr">
        <is>
          <t>N/A</t>
        </is>
      </c>
      <c r="M25" t="inlineStr">
        <is>
          <t>No</t>
        </is>
      </c>
      <c r="N25">
        <f>INDEX(Pesos_Dimensiones!$C$2:$C$22,MATCH(B25,Pesos_Dimensiones!$A$2:$A$22,0))</f>
        <v/>
      </c>
      <c r="O25">
        <f>1/COUNTIF($B$2:$B$76,B25)</f>
        <v/>
      </c>
      <c r="P25">
        <f>IF(OR(C25="Base",C25="Adicional"),N25*O25,0)</f>
        <v/>
      </c>
      <c r="Q25">
        <f>K25*P25</f>
        <v/>
      </c>
    </row>
    <row r="26">
      <c r="A26" t="inlineStr">
        <is>
          <t>R025</t>
        </is>
      </c>
      <c r="B26" t="inlineStr">
        <is>
          <t>7. Favoritismo</t>
        </is>
      </c>
      <c r="C26">
        <f>INDEX(Pesos_Dimensiones!$B$2:$B$22,MATCH(B26,Pesos_Dimensiones!$A$2:$A$22,0))</f>
        <v/>
      </c>
      <c r="D26" t="inlineStr">
        <is>
          <t>Preferencia declarada por decisiones basadas en cercanía</t>
        </is>
      </c>
      <c r="E26" t="inlineStr">
        <is>
          <t>1-Opinión/Actitud</t>
        </is>
      </c>
      <c r="F26" t="n">
        <v>0</v>
      </c>
      <c r="G26" t="n">
        <v>4</v>
      </c>
      <c r="H26" t="inlineStr">
        <is>
          <t>Directo</t>
        </is>
      </c>
      <c r="I26" t="n">
        <v>0</v>
      </c>
      <c r="J26">
        <f>IF(H26="Inverso",G26-I26,I26)</f>
        <v/>
      </c>
      <c r="K26">
        <f>IFERROR(J26/G26,0)</f>
        <v/>
      </c>
      <c r="L26" t="inlineStr">
        <is>
          <t>R026</t>
        </is>
      </c>
      <c r="M26" t="inlineStr">
        <is>
          <t>Si</t>
        </is>
      </c>
      <c r="N26">
        <f>INDEX(Pesos_Dimensiones!$C$2:$C$22,MATCH(B26,Pesos_Dimensiones!$A$2:$A$22,0))</f>
        <v/>
      </c>
      <c r="O26">
        <f>1/COUNTIF($B$2:$B$76,B26)</f>
        <v/>
      </c>
      <c r="P26">
        <f>IF(OR(C26="Base",C26="Adicional"),N26*O26,0)</f>
        <v/>
      </c>
      <c r="Q26">
        <f>K26*P26</f>
        <v/>
      </c>
    </row>
    <row r="27">
      <c r="A27" t="inlineStr">
        <is>
          <t>R026</t>
        </is>
      </c>
      <c r="B27" t="inlineStr">
        <is>
          <t>7. Favoritismo</t>
        </is>
      </c>
      <c r="C27">
        <f>INDEX(Pesos_Dimensiones!$B$2:$B$22,MATCH(B27,Pesos_Dimensiones!$A$2:$A$22,0))</f>
        <v/>
      </c>
      <c r="D27" t="inlineStr">
        <is>
          <t>Involucramiento pasado en decisiones sesgadas por cercanía</t>
        </is>
      </c>
      <c r="E27" t="inlineStr">
        <is>
          <t>3-Involucramiento pasado</t>
        </is>
      </c>
      <c r="F27" t="n">
        <v>0</v>
      </c>
      <c r="G27" t="n">
        <v>4</v>
      </c>
      <c r="H27" t="inlineStr">
        <is>
          <t>Directo</t>
        </is>
      </c>
      <c r="I27" t="n">
        <v>0</v>
      </c>
      <c r="J27">
        <f>IF(H27="Inverso",G27-I27,I27)</f>
        <v/>
      </c>
      <c r="K27">
        <f>IFERROR(J27/G27,0)</f>
        <v/>
      </c>
      <c r="L27" t="inlineStr">
        <is>
          <t>R025</t>
        </is>
      </c>
      <c r="M27" t="inlineStr">
        <is>
          <t>Si</t>
        </is>
      </c>
      <c r="N27">
        <f>INDEX(Pesos_Dimensiones!$C$2:$C$22,MATCH(B27,Pesos_Dimensiones!$A$2:$A$22,0))</f>
        <v/>
      </c>
      <c r="O27">
        <f>1/COUNTIF($B$2:$B$76,B27)</f>
        <v/>
      </c>
      <c r="P27">
        <f>IF(OR(C27="Base",C27="Adicional"),N27*O27,0)</f>
        <v/>
      </c>
      <c r="Q27">
        <f>K27*P27</f>
        <v/>
      </c>
    </row>
    <row r="28">
      <c r="A28" t="inlineStr">
        <is>
          <t>R027</t>
        </is>
      </c>
      <c r="B28" t="inlineStr">
        <is>
          <t>7. Favoritismo</t>
        </is>
      </c>
      <c r="C28">
        <f>INDEX(Pesos_Dimensiones!$B$2:$B$22,MATCH(B28,Pesos_Dimensiones!$A$2:$A$22,0))</f>
        <v/>
      </c>
      <c r="D28" t="inlineStr">
        <is>
          <t>Disposición a declarar un conflicto de interés propio</t>
        </is>
      </c>
      <c r="E28" t="inlineStr">
        <is>
          <t>6-Intención futura</t>
        </is>
      </c>
      <c r="F28" t="n">
        <v>0</v>
      </c>
      <c r="G28" t="n">
        <v>4</v>
      </c>
      <c r="H28" t="inlineStr">
        <is>
          <t>Inverso</t>
        </is>
      </c>
      <c r="I28" t="n">
        <v>0</v>
      </c>
      <c r="J28">
        <f>IF(H28="Inverso",G28-I28,I28)</f>
        <v/>
      </c>
      <c r="K28">
        <f>IFERROR(J28/G28,0)</f>
        <v/>
      </c>
      <c r="L28" t="inlineStr">
        <is>
          <t>N/A</t>
        </is>
      </c>
      <c r="M28" t="inlineStr">
        <is>
          <t>No</t>
        </is>
      </c>
      <c r="N28">
        <f>INDEX(Pesos_Dimensiones!$C$2:$C$22,MATCH(B28,Pesos_Dimensiones!$A$2:$A$22,0))</f>
        <v/>
      </c>
      <c r="O28">
        <f>1/COUNTIF($B$2:$B$76,B28)</f>
        <v/>
      </c>
      <c r="P28">
        <f>IF(OR(C28="Base",C28="Adicional"),N28*O28,0)</f>
        <v/>
      </c>
      <c r="Q28">
        <f>K28*P28</f>
        <v/>
      </c>
    </row>
    <row r="29">
      <c r="A29" t="inlineStr">
        <is>
          <t>R028</t>
        </is>
      </c>
      <c r="B29" t="inlineStr">
        <is>
          <t>7. Favoritismo</t>
        </is>
      </c>
      <c r="C29">
        <f>INDEX(Pesos_Dimensiones!$B$2:$B$22,MATCH(B29,Pesos_Dimensiones!$A$2:$A$22,0))</f>
        <v/>
      </c>
      <c r="D29" t="inlineStr">
        <is>
          <t>Percepción de frecuencia del favoritismo en el entorno</t>
        </is>
      </c>
      <c r="E29" t="inlineStr">
        <is>
          <t>2-Percepción de terceros</t>
        </is>
      </c>
      <c r="F29" t="n">
        <v>0</v>
      </c>
      <c r="G29" t="n">
        <v>3</v>
      </c>
      <c r="H29" t="inlineStr">
        <is>
          <t>Directo</t>
        </is>
      </c>
      <c r="I29" t="n">
        <v>0</v>
      </c>
      <c r="J29">
        <f>IF(H29="Inverso",G29-I29,I29)</f>
        <v/>
      </c>
      <c r="K29">
        <f>IFERROR(J29/G29,0)</f>
        <v/>
      </c>
      <c r="L29" t="inlineStr">
        <is>
          <t>N/A</t>
        </is>
      </c>
      <c r="M29" t="inlineStr">
        <is>
          <t>No</t>
        </is>
      </c>
      <c r="N29">
        <f>INDEX(Pesos_Dimensiones!$C$2:$C$22,MATCH(B29,Pesos_Dimensiones!$A$2:$A$22,0))</f>
        <v/>
      </c>
      <c r="O29">
        <f>1/COUNTIF($B$2:$B$76,B29)</f>
        <v/>
      </c>
      <c r="P29">
        <f>IF(OR(C29="Base",C29="Adicional"),N29*O29,0)</f>
        <v/>
      </c>
      <c r="Q29">
        <f>K29*P29</f>
        <v/>
      </c>
    </row>
    <row r="30">
      <c r="A30" t="inlineStr">
        <is>
          <t>R029</t>
        </is>
      </c>
      <c r="B30" t="inlineStr">
        <is>
          <t>8. Abuso de Recursos</t>
        </is>
      </c>
      <c r="C30">
        <f>INDEX(Pesos_Dimensiones!$B$2:$B$22,MATCH(B30,Pesos_Dimensiones!$A$2:$A$22,0))</f>
        <v/>
      </c>
      <c r="D30" t="inlineStr">
        <is>
          <t>Normalización del uso personal de recursos organizacionales</t>
        </is>
      </c>
      <c r="E30" t="inlineStr">
        <is>
          <t>1-Opinión/Actitud</t>
        </is>
      </c>
      <c r="F30" t="n">
        <v>0</v>
      </c>
      <c r="G30" t="n">
        <v>4</v>
      </c>
      <c r="H30" t="inlineStr">
        <is>
          <t>Directo</t>
        </is>
      </c>
      <c r="I30" t="n">
        <v>0</v>
      </c>
      <c r="J30">
        <f>IF(H30="Inverso",G30-I30,I30)</f>
        <v/>
      </c>
      <c r="K30">
        <f>IFERROR(J30/G30,0)</f>
        <v/>
      </c>
      <c r="L30" t="inlineStr">
        <is>
          <t>R030</t>
        </is>
      </c>
      <c r="M30" t="inlineStr">
        <is>
          <t>Si</t>
        </is>
      </c>
      <c r="N30">
        <f>INDEX(Pesos_Dimensiones!$C$2:$C$22,MATCH(B30,Pesos_Dimensiones!$A$2:$A$22,0))</f>
        <v/>
      </c>
      <c r="O30">
        <f>1/COUNTIF($B$2:$B$76,B30)</f>
        <v/>
      </c>
      <c r="P30">
        <f>IF(OR(C30="Base",C30="Adicional"),N30*O30,0)</f>
        <v/>
      </c>
      <c r="Q30">
        <f>K30*P30</f>
        <v/>
      </c>
    </row>
    <row r="31">
      <c r="A31" t="inlineStr">
        <is>
          <t>R030</t>
        </is>
      </c>
      <c r="B31" t="inlineStr">
        <is>
          <t>8. Abuso de Recursos</t>
        </is>
      </c>
      <c r="C31">
        <f>INDEX(Pesos_Dimensiones!$B$2:$B$22,MATCH(B31,Pesos_Dimensiones!$A$2:$A$22,0))</f>
        <v/>
      </c>
      <c r="D31" t="inlineStr">
        <is>
          <t>Involucramiento pasado en uso indebido de recursos</t>
        </is>
      </c>
      <c r="E31" t="inlineStr">
        <is>
          <t>3-Involucramiento pasado</t>
        </is>
      </c>
      <c r="F31" t="n">
        <v>0</v>
      </c>
      <c r="G31" t="n">
        <v>4</v>
      </c>
      <c r="H31" t="inlineStr">
        <is>
          <t>Directo</t>
        </is>
      </c>
      <c r="I31" t="n">
        <v>0</v>
      </c>
      <c r="J31">
        <f>IF(H31="Inverso",G31-I31,I31)</f>
        <v/>
      </c>
      <c r="K31">
        <f>IFERROR(J31/G31,0)</f>
        <v/>
      </c>
      <c r="L31" t="inlineStr">
        <is>
          <t>R029</t>
        </is>
      </c>
      <c r="M31" t="inlineStr">
        <is>
          <t>Si</t>
        </is>
      </c>
      <c r="N31">
        <f>INDEX(Pesos_Dimensiones!$C$2:$C$22,MATCH(B31,Pesos_Dimensiones!$A$2:$A$22,0))</f>
        <v/>
      </c>
      <c r="O31">
        <f>1/COUNTIF($B$2:$B$76,B31)</f>
        <v/>
      </c>
      <c r="P31">
        <f>IF(OR(C31="Base",C31="Adicional"),N31*O31,0)</f>
        <v/>
      </c>
      <c r="Q31">
        <f>K31*P31</f>
        <v/>
      </c>
    </row>
    <row r="32">
      <c r="A32" t="inlineStr">
        <is>
          <t>R031</t>
        </is>
      </c>
      <c r="B32" t="inlineStr">
        <is>
          <t>8. Abuso de Recursos</t>
        </is>
      </c>
      <c r="C32">
        <f>INDEX(Pesos_Dimensiones!$B$2:$B$22,MATCH(B32,Pesos_Dimensiones!$A$2:$A$22,0))</f>
        <v/>
      </c>
      <c r="D32" t="inlineStr">
        <is>
          <t>Disposición a limitar el uso personal de recursos institucionales</t>
        </is>
      </c>
      <c r="E32" t="inlineStr">
        <is>
          <t>6-Intención futura</t>
        </is>
      </c>
      <c r="F32" t="n">
        <v>0</v>
      </c>
      <c r="G32" t="n">
        <v>4</v>
      </c>
      <c r="H32" t="inlineStr">
        <is>
          <t>Inverso</t>
        </is>
      </c>
      <c r="I32" t="n">
        <v>0</v>
      </c>
      <c r="J32">
        <f>IF(H32="Inverso",G32-I32,I32)</f>
        <v/>
      </c>
      <c r="K32">
        <f>IFERROR(J32/G32,0)</f>
        <v/>
      </c>
      <c r="L32" t="inlineStr">
        <is>
          <t>N/A</t>
        </is>
      </c>
      <c r="M32" t="inlineStr">
        <is>
          <t>No</t>
        </is>
      </c>
      <c r="N32">
        <f>INDEX(Pesos_Dimensiones!$C$2:$C$22,MATCH(B32,Pesos_Dimensiones!$A$2:$A$22,0))</f>
        <v/>
      </c>
      <c r="O32">
        <f>1/COUNTIF($B$2:$B$76,B32)</f>
        <v/>
      </c>
      <c r="P32">
        <f>IF(OR(C32="Base",C32="Adicional"),N32*O32,0)</f>
        <v/>
      </c>
      <c r="Q32">
        <f>K32*P32</f>
        <v/>
      </c>
    </row>
    <row r="33">
      <c r="A33" t="inlineStr">
        <is>
          <t>R032</t>
        </is>
      </c>
      <c r="B33" t="inlineStr">
        <is>
          <t>8. Abuso de Recursos</t>
        </is>
      </c>
      <c r="C33">
        <f>INDEX(Pesos_Dimensiones!$B$2:$B$22,MATCH(B33,Pesos_Dimensiones!$A$2:$A$22,0))</f>
        <v/>
      </c>
      <c r="D33" t="inlineStr">
        <is>
          <t>Escenario de uso de tiempo laboral para fines propios</t>
        </is>
      </c>
      <c r="E33" t="inlineStr">
        <is>
          <t>4-Escenario/dilema</t>
        </is>
      </c>
      <c r="F33" t="n">
        <v>0</v>
      </c>
      <c r="G33" t="n">
        <v>3</v>
      </c>
      <c r="H33" t="inlineStr">
        <is>
          <t>Directo</t>
        </is>
      </c>
      <c r="I33" t="n">
        <v>0</v>
      </c>
      <c r="J33">
        <f>IF(H33="Inverso",G33-I33,I33)</f>
        <v/>
      </c>
      <c r="K33">
        <f>IFERROR(J33/G33,0)</f>
        <v/>
      </c>
      <c r="L33" t="inlineStr">
        <is>
          <t>N/A</t>
        </is>
      </c>
      <c r="M33" t="inlineStr">
        <is>
          <t>No</t>
        </is>
      </c>
      <c r="N33">
        <f>INDEX(Pesos_Dimensiones!$C$2:$C$22,MATCH(B33,Pesos_Dimensiones!$A$2:$A$22,0))</f>
        <v/>
      </c>
      <c r="O33">
        <f>1/COUNTIF($B$2:$B$76,B33)</f>
        <v/>
      </c>
      <c r="P33">
        <f>IF(OR(C33="Base",C33="Adicional"),N33*O33,0)</f>
        <v/>
      </c>
      <c r="Q33">
        <f>K33*P33</f>
        <v/>
      </c>
    </row>
    <row r="34">
      <c r="A34" t="inlineStr">
        <is>
          <t>R033</t>
        </is>
      </c>
      <c r="B34" t="inlineStr">
        <is>
          <t>9. Acoso Sexual</t>
        </is>
      </c>
      <c r="C34">
        <f>INDEX(Pesos_Dimensiones!$B$2:$B$22,MATCH(B34,Pesos_Dimensiones!$A$2:$A$22,0))</f>
        <v/>
      </c>
      <c r="D34" t="inlineStr">
        <is>
          <t>Minimización de conductas de naturaleza sexual no deseadas</t>
        </is>
      </c>
      <c r="E34" t="inlineStr">
        <is>
          <t>1-Opinión/Actitud</t>
        </is>
      </c>
      <c r="F34" t="n">
        <v>0</v>
      </c>
      <c r="G34" t="n">
        <v>4</v>
      </c>
      <c r="H34" t="inlineStr">
        <is>
          <t>Directo</t>
        </is>
      </c>
      <c r="I34" t="n">
        <v>0</v>
      </c>
      <c r="J34">
        <f>IF(H34="Inverso",G34-I34,I34)</f>
        <v/>
      </c>
      <c r="K34">
        <f>IFERROR(J34/G34,0)</f>
        <v/>
      </c>
      <c r="L34" t="inlineStr">
        <is>
          <t>R034</t>
        </is>
      </c>
      <c r="M34" t="inlineStr">
        <is>
          <t>Si</t>
        </is>
      </c>
      <c r="N34">
        <f>INDEX(Pesos_Dimensiones!$C$2:$C$22,MATCH(B34,Pesos_Dimensiones!$A$2:$A$22,0))</f>
        <v/>
      </c>
      <c r="O34">
        <f>1/COUNTIF($B$2:$B$76,B34)</f>
        <v/>
      </c>
      <c r="P34">
        <f>IF(OR(C34="Base",C34="Adicional"),N34*O34,0)</f>
        <v/>
      </c>
      <c r="Q34">
        <f>K34*P34</f>
        <v/>
      </c>
    </row>
    <row r="35">
      <c r="A35" t="inlineStr">
        <is>
          <t>R034</t>
        </is>
      </c>
      <c r="B35" t="inlineStr">
        <is>
          <t>9. Acoso Sexual</t>
        </is>
      </c>
      <c r="C35">
        <f>INDEX(Pesos_Dimensiones!$B$2:$B$22,MATCH(B35,Pesos_Dimensiones!$A$2:$A$22,0))</f>
        <v/>
      </c>
      <c r="D35" t="inlineStr">
        <is>
          <t>Involucramiento pasado en conductas no deseadas de naturaleza sexual</t>
        </is>
      </c>
      <c r="E35" t="inlineStr">
        <is>
          <t>3-Involucramiento pasado</t>
        </is>
      </c>
      <c r="F35" t="n">
        <v>0</v>
      </c>
      <c r="G35" t="n">
        <v>4</v>
      </c>
      <c r="H35" t="inlineStr">
        <is>
          <t>Directo</t>
        </is>
      </c>
      <c r="I35" t="n">
        <v>0</v>
      </c>
      <c r="J35">
        <f>IF(H35="Inverso",G35-I35,I35)</f>
        <v/>
      </c>
      <c r="K35">
        <f>IFERROR(J35/G35,0)</f>
        <v/>
      </c>
      <c r="L35" t="inlineStr">
        <is>
          <t>R033</t>
        </is>
      </c>
      <c r="M35" t="inlineStr">
        <is>
          <t>Si</t>
        </is>
      </c>
      <c r="N35">
        <f>INDEX(Pesos_Dimensiones!$C$2:$C$22,MATCH(B35,Pesos_Dimensiones!$A$2:$A$22,0))</f>
        <v/>
      </c>
      <c r="O35">
        <f>1/COUNTIF($B$2:$B$76,B35)</f>
        <v/>
      </c>
      <c r="P35">
        <f>IF(OR(C35="Base",C35="Adicional"),N35*O35,0)</f>
        <v/>
      </c>
      <c r="Q35">
        <f>K35*P35</f>
        <v/>
      </c>
    </row>
    <row r="36">
      <c r="A36" t="inlineStr">
        <is>
          <t>R035</t>
        </is>
      </c>
      <c r="B36" t="inlineStr">
        <is>
          <t>9. Acoso Sexual</t>
        </is>
      </c>
      <c r="C36">
        <f>INDEX(Pesos_Dimensiones!$B$2:$B$22,MATCH(B36,Pesos_Dimensiones!$A$2:$A$22,0))</f>
        <v/>
      </c>
      <c r="D36" t="inlineStr">
        <is>
          <t>Disposición a respetar límites ante una negativa</t>
        </is>
      </c>
      <c r="E36" t="inlineStr">
        <is>
          <t>6-Intención futura</t>
        </is>
      </c>
      <c r="F36" t="n">
        <v>0</v>
      </c>
      <c r="G36" t="n">
        <v>4</v>
      </c>
      <c r="H36" t="inlineStr">
        <is>
          <t>Inverso</t>
        </is>
      </c>
      <c r="I36" t="n">
        <v>0</v>
      </c>
      <c r="J36">
        <f>IF(H36="Inverso",G36-I36,I36)</f>
        <v/>
      </c>
      <c r="K36">
        <f>IFERROR(J36/G36,0)</f>
        <v/>
      </c>
      <c r="L36" t="inlineStr">
        <is>
          <t>N/A</t>
        </is>
      </c>
      <c r="M36" t="inlineStr">
        <is>
          <t>No</t>
        </is>
      </c>
      <c r="N36">
        <f>INDEX(Pesos_Dimensiones!$C$2:$C$22,MATCH(B36,Pesos_Dimensiones!$A$2:$A$22,0))</f>
        <v/>
      </c>
      <c r="O36">
        <f>1/COUNTIF($B$2:$B$76,B36)</f>
        <v/>
      </c>
      <c r="P36">
        <f>IF(OR(C36="Base",C36="Adicional"),N36*O36,0)</f>
        <v/>
      </c>
      <c r="Q36">
        <f>K36*P36</f>
        <v/>
      </c>
    </row>
    <row r="37">
      <c r="A37" t="inlineStr">
        <is>
          <t>R036</t>
        </is>
      </c>
      <c r="B37" t="inlineStr">
        <is>
          <t>9. Acoso Sexual</t>
        </is>
      </c>
      <c r="C37">
        <f>INDEX(Pesos_Dimensiones!$B$2:$B$22,MATCH(B37,Pesos_Dimensiones!$A$2:$A$22,0))</f>
        <v/>
      </c>
      <c r="D37" t="inlineStr">
        <is>
          <t>Percepción de consecuencias ante este tipo de conductas</t>
        </is>
      </c>
      <c r="E37" t="inlineStr">
        <is>
          <t>2-Percepción de terceros</t>
        </is>
      </c>
      <c r="F37" t="n">
        <v>0</v>
      </c>
      <c r="G37" t="n">
        <v>3</v>
      </c>
      <c r="H37" t="inlineStr">
        <is>
          <t>Directo</t>
        </is>
      </c>
      <c r="I37" t="n">
        <v>0</v>
      </c>
      <c r="J37">
        <f>IF(H37="Inverso",G37-I37,I37)</f>
        <v/>
      </c>
      <c r="K37">
        <f>IFERROR(J37/G37,0)</f>
        <v/>
      </c>
      <c r="L37" t="inlineStr">
        <is>
          <t>N/A</t>
        </is>
      </c>
      <c r="M37" t="inlineStr">
        <is>
          <t>No</t>
        </is>
      </c>
      <c r="N37">
        <f>INDEX(Pesos_Dimensiones!$C$2:$C$22,MATCH(B37,Pesos_Dimensiones!$A$2:$A$22,0))</f>
        <v/>
      </c>
      <c r="O37">
        <f>1/COUNTIF($B$2:$B$76,B37)</f>
        <v/>
      </c>
      <c r="P37">
        <f>IF(OR(C37="Base",C37="Adicional"),N37*O37,0)</f>
        <v/>
      </c>
      <c r="Q37">
        <f>K37*P37</f>
        <v/>
      </c>
    </row>
    <row r="38">
      <c r="A38" t="inlineStr">
        <is>
          <t>R037</t>
        </is>
      </c>
      <c r="B38" t="inlineStr">
        <is>
          <t>10. Maltrato Laboral</t>
        </is>
      </c>
      <c r="C38">
        <f>INDEX(Pesos_Dimensiones!$B$2:$B$22,MATCH(B38,Pesos_Dimensiones!$A$2:$A$22,0))</f>
        <v/>
      </c>
      <c r="D38" t="inlineStr">
        <is>
          <t>Justificación del uso de la autoridad para intimidar</t>
        </is>
      </c>
      <c r="E38" t="inlineStr">
        <is>
          <t>1-Opinión/Actitud</t>
        </is>
      </c>
      <c r="F38" t="n">
        <v>0</v>
      </c>
      <c r="G38" t="n">
        <v>4</v>
      </c>
      <c r="H38" t="inlineStr">
        <is>
          <t>Directo</t>
        </is>
      </c>
      <c r="I38" t="n">
        <v>0</v>
      </c>
      <c r="J38">
        <f>IF(H38="Inverso",G38-I38,I38)</f>
        <v/>
      </c>
      <c r="K38">
        <f>IFERROR(J38/G38,0)</f>
        <v/>
      </c>
      <c r="L38" t="inlineStr">
        <is>
          <t>R038</t>
        </is>
      </c>
      <c r="M38" t="inlineStr">
        <is>
          <t>Si</t>
        </is>
      </c>
      <c r="N38">
        <f>INDEX(Pesos_Dimensiones!$C$2:$C$22,MATCH(B38,Pesos_Dimensiones!$A$2:$A$22,0))</f>
        <v/>
      </c>
      <c r="O38">
        <f>1/COUNTIF($B$2:$B$76,B38)</f>
        <v/>
      </c>
      <c r="P38">
        <f>IF(OR(C38="Base",C38="Adicional"),N38*O38,0)</f>
        <v/>
      </c>
      <c r="Q38">
        <f>K38*P38</f>
        <v/>
      </c>
    </row>
    <row r="39">
      <c r="A39" t="inlineStr">
        <is>
          <t>R038</t>
        </is>
      </c>
      <c r="B39" t="inlineStr">
        <is>
          <t>10. Maltrato Laboral</t>
        </is>
      </c>
      <c r="C39">
        <f>INDEX(Pesos_Dimensiones!$B$2:$B$22,MATCH(B39,Pesos_Dimensiones!$A$2:$A$22,0))</f>
        <v/>
      </c>
      <c r="D39" t="inlineStr">
        <is>
          <t>Involucramiento pasado en trato degradante hacia otros</t>
        </is>
      </c>
      <c r="E39" t="inlineStr">
        <is>
          <t>3-Involucramiento pasado</t>
        </is>
      </c>
      <c r="F39" t="n">
        <v>0</v>
      </c>
      <c r="G39" t="n">
        <v>4</v>
      </c>
      <c r="H39" t="inlineStr">
        <is>
          <t>Directo</t>
        </is>
      </c>
      <c r="I39" t="n">
        <v>0</v>
      </c>
      <c r="J39">
        <f>IF(H39="Inverso",G39-I39,I39)</f>
        <v/>
      </c>
      <c r="K39">
        <f>IFERROR(J39/G39,0)</f>
        <v/>
      </c>
      <c r="L39" t="inlineStr">
        <is>
          <t>R037</t>
        </is>
      </c>
      <c r="M39" t="inlineStr">
        <is>
          <t>Si</t>
        </is>
      </c>
      <c r="N39">
        <f>INDEX(Pesos_Dimensiones!$C$2:$C$22,MATCH(B39,Pesos_Dimensiones!$A$2:$A$22,0))</f>
        <v/>
      </c>
      <c r="O39">
        <f>1/COUNTIF($B$2:$B$76,B39)</f>
        <v/>
      </c>
      <c r="P39">
        <f>IF(OR(C39="Base",C39="Adicional"),N39*O39,0)</f>
        <v/>
      </c>
      <c r="Q39">
        <f>K39*P39</f>
        <v/>
      </c>
    </row>
    <row r="40">
      <c r="A40" t="inlineStr">
        <is>
          <t>R039</t>
        </is>
      </c>
      <c r="B40" t="inlineStr">
        <is>
          <t>10. Maltrato Laboral</t>
        </is>
      </c>
      <c r="C40">
        <f>INDEX(Pesos_Dimensiones!$B$2:$B$22,MATCH(B40,Pesos_Dimensiones!$A$2:$A$22,0))</f>
        <v/>
      </c>
      <c r="D40" t="inlineStr">
        <is>
          <t>Disposición a corregir sin recurrir al maltrato</t>
        </is>
      </c>
      <c r="E40" t="inlineStr">
        <is>
          <t>6-Intención futura</t>
        </is>
      </c>
      <c r="F40" t="n">
        <v>0</v>
      </c>
      <c r="G40" t="n">
        <v>4</v>
      </c>
      <c r="H40" t="inlineStr">
        <is>
          <t>Inverso</t>
        </is>
      </c>
      <c r="I40" t="n">
        <v>0</v>
      </c>
      <c r="J40">
        <f>IF(H40="Inverso",G40-I40,I40)</f>
        <v/>
      </c>
      <c r="K40">
        <f>IFERROR(J40/G40,0)</f>
        <v/>
      </c>
      <c r="L40" t="inlineStr">
        <is>
          <t>N/A</t>
        </is>
      </c>
      <c r="M40" t="inlineStr">
        <is>
          <t>No</t>
        </is>
      </c>
      <c r="N40">
        <f>INDEX(Pesos_Dimensiones!$C$2:$C$22,MATCH(B40,Pesos_Dimensiones!$A$2:$A$22,0))</f>
        <v/>
      </c>
      <c r="O40">
        <f>1/COUNTIF($B$2:$B$76,B40)</f>
        <v/>
      </c>
      <c r="P40">
        <f>IF(OR(C40="Base",C40="Adicional"),N40*O40,0)</f>
        <v/>
      </c>
      <c r="Q40">
        <f>K40*P40</f>
        <v/>
      </c>
    </row>
    <row r="41">
      <c r="A41" t="inlineStr">
        <is>
          <t>R040</t>
        </is>
      </c>
      <c r="B41" t="inlineStr">
        <is>
          <t>10. Maltrato Laboral</t>
        </is>
      </c>
      <c r="C41">
        <f>INDEX(Pesos_Dimensiones!$B$2:$B$22,MATCH(B41,Pesos_Dimensiones!$A$2:$A$22,0))</f>
        <v/>
      </c>
      <c r="D41" t="inlineStr">
        <is>
          <t>Percepción de tolerancia al trato degradante como estilo de gestión</t>
        </is>
      </c>
      <c r="E41" t="inlineStr">
        <is>
          <t>2-Percepción de terceros</t>
        </is>
      </c>
      <c r="F41" t="n">
        <v>0</v>
      </c>
      <c r="G41" t="n">
        <v>3</v>
      </c>
      <c r="H41" t="inlineStr">
        <is>
          <t>Directo</t>
        </is>
      </c>
      <c r="I41" t="n">
        <v>0</v>
      </c>
      <c r="J41">
        <f>IF(H41="Inverso",G41-I41,I41)</f>
        <v/>
      </c>
      <c r="K41">
        <f>IFERROR(J41/G41,0)</f>
        <v/>
      </c>
      <c r="L41" t="inlineStr">
        <is>
          <t>N/A</t>
        </is>
      </c>
      <c r="M41" t="inlineStr">
        <is>
          <t>No</t>
        </is>
      </c>
      <c r="N41">
        <f>INDEX(Pesos_Dimensiones!$C$2:$C$22,MATCH(B41,Pesos_Dimensiones!$A$2:$A$22,0))</f>
        <v/>
      </c>
      <c r="O41">
        <f>1/COUNTIF($B$2:$B$76,B41)</f>
        <v/>
      </c>
      <c r="P41">
        <f>IF(OR(C41="Base",C41="Adicional"),N41*O41,0)</f>
        <v/>
      </c>
      <c r="Q41">
        <f>K41*P41</f>
        <v/>
      </c>
    </row>
    <row r="42">
      <c r="A42" t="inlineStr">
        <is>
          <t>R041</t>
        </is>
      </c>
      <c r="B42" t="inlineStr">
        <is>
          <t>11. Discriminación</t>
        </is>
      </c>
      <c r="C42">
        <f>INDEX(Pesos_Dimensiones!$B$2:$B$22,MATCH(B42,Pesos_Dimensiones!$A$2:$A$22,0))</f>
        <v/>
      </c>
      <c r="D42" t="inlineStr">
        <is>
          <t>Justificación de estereotipos en decisiones</t>
        </is>
      </c>
      <c r="E42" t="inlineStr">
        <is>
          <t>1-Opinión/Actitud</t>
        </is>
      </c>
      <c r="F42" t="n">
        <v>0</v>
      </c>
      <c r="G42" t="n">
        <v>4</v>
      </c>
      <c r="H42" t="inlineStr">
        <is>
          <t>Directo</t>
        </is>
      </c>
      <c r="I42" t="n">
        <v>0</v>
      </c>
      <c r="J42">
        <f>IF(H42="Inverso",G42-I42,I42)</f>
        <v/>
      </c>
      <c r="K42">
        <f>IFERROR(J42/G42,0)</f>
        <v/>
      </c>
      <c r="L42" t="inlineStr">
        <is>
          <t>R042</t>
        </is>
      </c>
      <c r="M42" t="inlineStr">
        <is>
          <t>Si</t>
        </is>
      </c>
      <c r="N42">
        <f>INDEX(Pesos_Dimensiones!$C$2:$C$22,MATCH(B42,Pesos_Dimensiones!$A$2:$A$22,0))</f>
        <v/>
      </c>
      <c r="O42">
        <f>1/COUNTIF($B$2:$B$76,B42)</f>
        <v/>
      </c>
      <c r="P42">
        <f>IF(OR(C42="Base",C42="Adicional"),N42*O42,0)</f>
        <v/>
      </c>
      <c r="Q42">
        <f>K42*P42</f>
        <v/>
      </c>
    </row>
    <row r="43">
      <c r="A43" t="inlineStr">
        <is>
          <t>R042</t>
        </is>
      </c>
      <c r="B43" t="inlineStr">
        <is>
          <t>11. Discriminación</t>
        </is>
      </c>
      <c r="C43">
        <f>INDEX(Pesos_Dimensiones!$B$2:$B$22,MATCH(B43,Pesos_Dimensiones!$A$2:$A$22,0))</f>
        <v/>
      </c>
      <c r="D43" t="inlineStr">
        <is>
          <t>Involucramiento pasado en exclusión por características personales</t>
        </is>
      </c>
      <c r="E43" t="inlineStr">
        <is>
          <t>3-Involucramiento pasado</t>
        </is>
      </c>
      <c r="F43" t="n">
        <v>0</v>
      </c>
      <c r="G43" t="n">
        <v>4</v>
      </c>
      <c r="H43" t="inlineStr">
        <is>
          <t>Directo</t>
        </is>
      </c>
      <c r="I43" t="n">
        <v>0</v>
      </c>
      <c r="J43">
        <f>IF(H43="Inverso",G43-I43,I43)</f>
        <v/>
      </c>
      <c r="K43">
        <f>IFERROR(J43/G43,0)</f>
        <v/>
      </c>
      <c r="L43" t="inlineStr">
        <is>
          <t>R041</t>
        </is>
      </c>
      <c r="M43" t="inlineStr">
        <is>
          <t>Si</t>
        </is>
      </c>
      <c r="N43">
        <f>INDEX(Pesos_Dimensiones!$C$2:$C$22,MATCH(B43,Pesos_Dimensiones!$A$2:$A$22,0))</f>
        <v/>
      </c>
      <c r="O43">
        <f>1/COUNTIF($B$2:$B$76,B43)</f>
        <v/>
      </c>
      <c r="P43">
        <f>IF(OR(C43="Base",C43="Adicional"),N43*O43,0)</f>
        <v/>
      </c>
      <c r="Q43">
        <f>K43*P43</f>
        <v/>
      </c>
    </row>
    <row r="44">
      <c r="A44" t="inlineStr">
        <is>
          <t>R043</t>
        </is>
      </c>
      <c r="B44" t="inlineStr">
        <is>
          <t>11. Discriminación</t>
        </is>
      </c>
      <c r="C44">
        <f>INDEX(Pesos_Dimensiones!$B$2:$B$22,MATCH(B44,Pesos_Dimensiones!$A$2:$A$22,0))</f>
        <v/>
      </c>
      <c r="D44" t="inlineStr">
        <is>
          <t>Disposición a evaluar únicamente por desempeño</t>
        </is>
      </c>
      <c r="E44" t="inlineStr">
        <is>
          <t>6-Intención futura</t>
        </is>
      </c>
      <c r="F44" t="n">
        <v>0</v>
      </c>
      <c r="G44" t="n">
        <v>4</v>
      </c>
      <c r="H44" t="inlineStr">
        <is>
          <t>Inverso</t>
        </is>
      </c>
      <c r="I44" t="n">
        <v>0</v>
      </c>
      <c r="J44">
        <f>IF(H44="Inverso",G44-I44,I44)</f>
        <v/>
      </c>
      <c r="K44">
        <f>IFERROR(J44/G44,0)</f>
        <v/>
      </c>
      <c r="L44" t="inlineStr">
        <is>
          <t>N/A</t>
        </is>
      </c>
      <c r="M44" t="inlineStr">
        <is>
          <t>No</t>
        </is>
      </c>
      <c r="N44">
        <f>INDEX(Pesos_Dimensiones!$C$2:$C$22,MATCH(B44,Pesos_Dimensiones!$A$2:$A$22,0))</f>
        <v/>
      </c>
      <c r="O44">
        <f>1/COUNTIF($B$2:$B$76,B44)</f>
        <v/>
      </c>
      <c r="P44">
        <f>IF(OR(C44="Base",C44="Adicional"),N44*O44,0)</f>
        <v/>
      </c>
      <c r="Q44">
        <f>K44*P44</f>
        <v/>
      </c>
    </row>
    <row r="45">
      <c r="A45" t="inlineStr">
        <is>
          <t>R044</t>
        </is>
      </c>
      <c r="B45" t="inlineStr">
        <is>
          <t>11. Discriminación</t>
        </is>
      </c>
      <c r="C45">
        <f>INDEX(Pesos_Dimensiones!$B$2:$B$22,MATCH(B45,Pesos_Dimensiones!$A$2:$A$22,0))</f>
        <v/>
      </c>
      <c r="D45" t="inlineStr">
        <is>
          <t>Percepción de frecuencia de la discriminación en el entorno</t>
        </is>
      </c>
      <c r="E45" t="inlineStr">
        <is>
          <t>2-Percepción de terceros</t>
        </is>
      </c>
      <c r="F45" t="n">
        <v>0</v>
      </c>
      <c r="G45" t="n">
        <v>3</v>
      </c>
      <c r="H45" t="inlineStr">
        <is>
          <t>Directo</t>
        </is>
      </c>
      <c r="I45" t="n">
        <v>0</v>
      </c>
      <c r="J45">
        <f>IF(H45="Inverso",G45-I45,I45)</f>
        <v/>
      </c>
      <c r="K45">
        <f>IFERROR(J45/G45,0)</f>
        <v/>
      </c>
      <c r="L45" t="inlineStr">
        <is>
          <t>N/A</t>
        </is>
      </c>
      <c r="M45" t="inlineStr">
        <is>
          <t>No</t>
        </is>
      </c>
      <c r="N45">
        <f>INDEX(Pesos_Dimensiones!$C$2:$C$22,MATCH(B45,Pesos_Dimensiones!$A$2:$A$22,0))</f>
        <v/>
      </c>
      <c r="O45">
        <f>1/COUNTIF($B$2:$B$76,B45)</f>
        <v/>
      </c>
      <c r="P45">
        <f>IF(OR(C45="Base",C45="Adicional"),N45*O45,0)</f>
        <v/>
      </c>
      <c r="Q45">
        <f>K45*P45</f>
        <v/>
      </c>
    </row>
    <row r="46">
      <c r="A46" t="inlineStr">
        <is>
          <t>R045</t>
        </is>
      </c>
      <c r="B46" t="inlineStr">
        <is>
          <t>12. Asociación Criminal</t>
        </is>
      </c>
      <c r="C46">
        <f>INDEX(Pesos_Dimensiones!$B$2:$B$22,MATCH(B46,Pesos_Dimensiones!$A$2:$A$22,0))</f>
        <v/>
      </c>
      <c r="D46" t="inlineStr">
        <is>
          <t>Tolerancia a la cercanía con actividad delictiva</t>
        </is>
      </c>
      <c r="E46" t="inlineStr">
        <is>
          <t>1-Opinión/Actitud</t>
        </is>
      </c>
      <c r="F46" t="n">
        <v>0</v>
      </c>
      <c r="G46" t="n">
        <v>4</v>
      </c>
      <c r="H46" t="inlineStr">
        <is>
          <t>Directo</t>
        </is>
      </c>
      <c r="I46" t="n">
        <v>0</v>
      </c>
      <c r="J46">
        <f>IF(H46="Inverso",G46-I46,I46)</f>
        <v/>
      </c>
      <c r="K46">
        <f>IFERROR(J46/G46,0)</f>
        <v/>
      </c>
      <c r="L46" t="inlineStr">
        <is>
          <t>R046</t>
        </is>
      </c>
      <c r="M46" t="inlineStr">
        <is>
          <t>Si</t>
        </is>
      </c>
      <c r="N46">
        <f>INDEX(Pesos_Dimensiones!$C$2:$C$22,MATCH(B46,Pesos_Dimensiones!$A$2:$A$22,0))</f>
        <v/>
      </c>
      <c r="O46">
        <f>1/COUNTIF($B$2:$B$76,B46)</f>
        <v/>
      </c>
      <c r="P46">
        <f>IF(OR(C46="Base",C46="Adicional"),N46*O46,0)</f>
        <v/>
      </c>
      <c r="Q46">
        <f>K46*P46</f>
        <v/>
      </c>
    </row>
    <row r="47">
      <c r="A47" t="inlineStr">
        <is>
          <t>R046</t>
        </is>
      </c>
      <c r="B47" t="inlineStr">
        <is>
          <t>12. Asociación Criminal</t>
        </is>
      </c>
      <c r="C47">
        <f>INDEX(Pesos_Dimensiones!$B$2:$B$22,MATCH(B47,Pesos_Dimensiones!$A$2:$A$22,0))</f>
        <v/>
      </c>
      <c r="D47" t="inlineStr">
        <is>
          <t>Involucramiento pasado en cercanía con estructuras delictivas</t>
        </is>
      </c>
      <c r="E47" t="inlineStr">
        <is>
          <t>3-Involucramiento pasado</t>
        </is>
      </c>
      <c r="F47" t="n">
        <v>0</v>
      </c>
      <c r="G47" t="n">
        <v>4</v>
      </c>
      <c r="H47" t="inlineStr">
        <is>
          <t>Directo</t>
        </is>
      </c>
      <c r="I47" t="n">
        <v>0</v>
      </c>
      <c r="J47">
        <f>IF(H47="Inverso",G47-I47,I47)</f>
        <v/>
      </c>
      <c r="K47">
        <f>IFERROR(J47/G47,0)</f>
        <v/>
      </c>
      <c r="L47" t="inlineStr">
        <is>
          <t>R045</t>
        </is>
      </c>
      <c r="M47" t="inlineStr">
        <is>
          <t>Si</t>
        </is>
      </c>
      <c r="N47">
        <f>INDEX(Pesos_Dimensiones!$C$2:$C$22,MATCH(B47,Pesos_Dimensiones!$A$2:$A$22,0))</f>
        <v/>
      </c>
      <c r="O47">
        <f>1/COUNTIF($B$2:$B$76,B47)</f>
        <v/>
      </c>
      <c r="P47">
        <f>IF(OR(C47="Base",C47="Adicional"),N47*O47,0)</f>
        <v/>
      </c>
      <c r="Q47">
        <f>K47*P47</f>
        <v/>
      </c>
    </row>
    <row r="48">
      <c r="A48" t="inlineStr">
        <is>
          <t>R047</t>
        </is>
      </c>
      <c r="B48" t="inlineStr">
        <is>
          <t>12. Asociación Criminal</t>
        </is>
      </c>
      <c r="C48">
        <f>INDEX(Pesos_Dimensiones!$B$2:$B$22,MATCH(B48,Pesos_Dimensiones!$A$2:$A$22,0))</f>
        <v/>
      </c>
      <c r="D48" t="inlineStr">
        <is>
          <t>Disposición a distanciarse de estructuras delictivas conocidas</t>
        </is>
      </c>
      <c r="E48" t="inlineStr">
        <is>
          <t>6-Intención futura</t>
        </is>
      </c>
      <c r="F48" t="n">
        <v>0</v>
      </c>
      <c r="G48" t="n">
        <v>4</v>
      </c>
      <c r="H48" t="inlineStr">
        <is>
          <t>Inverso</t>
        </is>
      </c>
      <c r="I48" t="n">
        <v>0</v>
      </c>
      <c r="J48">
        <f>IF(H48="Inverso",G48-I48,I48)</f>
        <v/>
      </c>
      <c r="K48">
        <f>IFERROR(J48/G48,0)</f>
        <v/>
      </c>
      <c r="L48" t="inlineStr">
        <is>
          <t>N/A</t>
        </is>
      </c>
      <c r="M48" t="inlineStr">
        <is>
          <t>No</t>
        </is>
      </c>
      <c r="N48">
        <f>INDEX(Pesos_Dimensiones!$C$2:$C$22,MATCH(B48,Pesos_Dimensiones!$A$2:$A$22,0))</f>
        <v/>
      </c>
      <c r="O48">
        <f>1/COUNTIF($B$2:$B$76,B48)</f>
        <v/>
      </c>
      <c r="P48">
        <f>IF(OR(C48="Base",C48="Adicional"),N48*O48,0)</f>
        <v/>
      </c>
      <c r="Q48">
        <f>K48*P48</f>
        <v/>
      </c>
    </row>
    <row r="49">
      <c r="A49" t="inlineStr">
        <is>
          <t>R048</t>
        </is>
      </c>
      <c r="B49" t="inlineStr">
        <is>
          <t>12. Asociación Criminal</t>
        </is>
      </c>
      <c r="C49">
        <f>INDEX(Pesos_Dimensiones!$B$2:$B$22,MATCH(B49,Pesos_Dimensiones!$A$2:$A$22,0))</f>
        <v/>
      </c>
      <c r="D49" t="inlineStr">
        <is>
          <t>Percepción de riesgo al asociarse con actividad delictiva</t>
        </is>
      </c>
      <c r="E49" t="inlineStr">
        <is>
          <t>2-Percepción de terceros</t>
        </is>
      </c>
      <c r="F49" t="n">
        <v>0</v>
      </c>
      <c r="G49" t="n">
        <v>3</v>
      </c>
      <c r="H49" t="inlineStr">
        <is>
          <t>Directo</t>
        </is>
      </c>
      <c r="I49" t="n">
        <v>0</v>
      </c>
      <c r="J49">
        <f>IF(H49="Inverso",G49-I49,I49)</f>
        <v/>
      </c>
      <c r="K49">
        <f>IFERROR(J49/G49,0)</f>
        <v/>
      </c>
      <c r="L49" t="inlineStr">
        <is>
          <t>N/A</t>
        </is>
      </c>
      <c r="M49" t="inlineStr">
        <is>
          <t>No</t>
        </is>
      </c>
      <c r="N49">
        <f>INDEX(Pesos_Dimensiones!$C$2:$C$22,MATCH(B49,Pesos_Dimensiones!$A$2:$A$22,0))</f>
        <v/>
      </c>
      <c r="O49">
        <f>1/COUNTIF($B$2:$B$76,B49)</f>
        <v/>
      </c>
      <c r="P49">
        <f>IF(OR(C49="Base",C49="Adicional"),N49*O49,0)</f>
        <v/>
      </c>
      <c r="Q49">
        <f>K49*P49</f>
        <v/>
      </c>
    </row>
    <row r="50">
      <c r="A50" t="inlineStr">
        <is>
          <t>R049</t>
        </is>
      </c>
      <c r="B50" t="inlineStr">
        <is>
          <t>13. Sustancias Lícitas</t>
        </is>
      </c>
      <c r="C50">
        <f>INDEX(Pesos_Dimensiones!$B$2:$B$22,MATCH(B50,Pesos_Dimensiones!$A$2:$A$22,0))</f>
        <v/>
      </c>
      <c r="D50" t="inlineStr">
        <is>
          <t>Frecuencia de consumo de alcohol/tabaco</t>
        </is>
      </c>
      <c r="E50" t="inlineStr">
        <is>
          <t>3-Involucramiento pasado</t>
        </is>
      </c>
      <c r="F50" t="n">
        <v>0</v>
      </c>
      <c r="G50" t="n">
        <v>3</v>
      </c>
      <c r="H50" t="inlineStr">
        <is>
          <t>Directo</t>
        </is>
      </c>
      <c r="I50" t="n">
        <v>0</v>
      </c>
      <c r="J50">
        <f>IF(H50="Inverso",G50-I50,I50)</f>
        <v/>
      </c>
      <c r="K50">
        <f>IFERROR(J50/G50,0)</f>
        <v/>
      </c>
      <c r="L50" t="inlineStr">
        <is>
          <t>N/A</t>
        </is>
      </c>
      <c r="M50" t="inlineStr">
        <is>
          <t>No</t>
        </is>
      </c>
      <c r="N50">
        <f>INDEX(Pesos_Dimensiones!$C$2:$C$22,MATCH(B50,Pesos_Dimensiones!$A$2:$A$22,0))</f>
        <v/>
      </c>
      <c r="O50">
        <f>1/COUNTIF($B$2:$B$76,B50)</f>
        <v/>
      </c>
      <c r="P50">
        <f>IF(OR(C50="Base",C50="Adicional"),N50*O50,0)</f>
        <v/>
      </c>
      <c r="Q50">
        <f>K50*P50</f>
        <v/>
      </c>
    </row>
    <row r="51">
      <c r="A51" t="inlineStr">
        <is>
          <t>R050</t>
        </is>
      </c>
      <c r="B51" t="inlineStr">
        <is>
          <t>13. Sustancias Lícitas</t>
        </is>
      </c>
      <c r="C51">
        <f>INDEX(Pesos_Dimensiones!$B$2:$B$22,MATCH(B51,Pesos_Dimensiones!$A$2:$A$22,0))</f>
        <v/>
      </c>
      <c r="D51" t="inlineStr">
        <is>
          <t>Justificación del consumo como manejo del estrés</t>
        </is>
      </c>
      <c r="E51" t="inlineStr">
        <is>
          <t>1-Opinión/Actitud</t>
        </is>
      </c>
      <c r="F51" t="n">
        <v>0</v>
      </c>
      <c r="G51" t="n">
        <v>4</v>
      </c>
      <c r="H51" t="inlineStr">
        <is>
          <t>Directo</t>
        </is>
      </c>
      <c r="I51" t="n">
        <v>0</v>
      </c>
      <c r="J51">
        <f>IF(H51="Inverso",G51-I51,I51)</f>
        <v/>
      </c>
      <c r="K51">
        <f>IFERROR(J51/G51,0)</f>
        <v/>
      </c>
      <c r="L51" t="inlineStr">
        <is>
          <t>N/A</t>
        </is>
      </c>
      <c r="M51" t="inlineStr">
        <is>
          <t>No</t>
        </is>
      </c>
      <c r="N51">
        <f>INDEX(Pesos_Dimensiones!$C$2:$C$22,MATCH(B51,Pesos_Dimensiones!$A$2:$A$22,0))</f>
        <v/>
      </c>
      <c r="O51">
        <f>1/COUNTIF($B$2:$B$76,B51)</f>
        <v/>
      </c>
      <c r="P51">
        <f>IF(OR(C51="Base",C51="Adicional"),N51*O51,0)</f>
        <v/>
      </c>
      <c r="Q51">
        <f>K51*P51</f>
        <v/>
      </c>
    </row>
    <row r="52">
      <c r="A52" t="inlineStr">
        <is>
          <t>R051</t>
        </is>
      </c>
      <c r="B52" t="inlineStr">
        <is>
          <t>13. Sustancias Lícitas</t>
        </is>
      </c>
      <c r="C52">
        <f>INDEX(Pesos_Dimensiones!$B$2:$B$22,MATCH(B52,Pesos_Dimensiones!$A$2:$A$22,0))</f>
        <v/>
      </c>
      <c r="D52" t="inlineStr">
        <is>
          <t>Consumo previo a actividades donde afecta el desempeño</t>
        </is>
      </c>
      <c r="E52" t="inlineStr">
        <is>
          <t>4-Escenario/dilema</t>
        </is>
      </c>
      <c r="F52" t="n">
        <v>0</v>
      </c>
      <c r="G52" t="n">
        <v>3</v>
      </c>
      <c r="H52" t="inlineStr">
        <is>
          <t>Directo</t>
        </is>
      </c>
      <c r="I52" t="n">
        <v>0</v>
      </c>
      <c r="J52">
        <f>IF(H52="Inverso",G52-I52,I52)</f>
        <v/>
      </c>
      <c r="K52">
        <f>IFERROR(J52/G52,0)</f>
        <v/>
      </c>
      <c r="L52" t="inlineStr">
        <is>
          <t>N/A</t>
        </is>
      </c>
      <c r="M52" t="inlineStr">
        <is>
          <t>No</t>
        </is>
      </c>
      <c r="N52">
        <f>INDEX(Pesos_Dimensiones!$C$2:$C$22,MATCH(B52,Pesos_Dimensiones!$A$2:$A$22,0))</f>
        <v/>
      </c>
      <c r="O52">
        <f>1/COUNTIF($B$2:$B$76,B52)</f>
        <v/>
      </c>
      <c r="P52">
        <f>IF(OR(C52="Base",C52="Adicional"),N52*O52,0)</f>
        <v/>
      </c>
      <c r="Q52">
        <f>K52*P52</f>
        <v/>
      </c>
    </row>
    <row r="53">
      <c r="A53" t="inlineStr">
        <is>
          <t>R052</t>
        </is>
      </c>
      <c r="B53" t="inlineStr">
        <is>
          <t>14. Sustancias Ilícitas</t>
        </is>
      </c>
      <c r="C53">
        <f>INDEX(Pesos_Dimensiones!$B$2:$B$22,MATCH(B53,Pesos_Dimensiones!$A$2:$A$22,0))</f>
        <v/>
      </c>
      <c r="D53" t="inlineStr">
        <is>
          <t>Consumo declarado de sustancias ilícitas</t>
        </is>
      </c>
      <c r="E53" t="inlineStr">
        <is>
          <t>3-Involucramiento pasado</t>
        </is>
      </c>
      <c r="F53" t="n">
        <v>0</v>
      </c>
      <c r="G53" t="n">
        <v>4</v>
      </c>
      <c r="H53" t="inlineStr">
        <is>
          <t>Directo</t>
        </is>
      </c>
      <c r="I53" t="n">
        <v>0</v>
      </c>
      <c r="J53">
        <f>IF(H53="Inverso",G53-I53,I53)</f>
        <v/>
      </c>
      <c r="K53">
        <f>IFERROR(J53/G53,0)</f>
        <v/>
      </c>
      <c r="L53" t="inlineStr">
        <is>
          <t>N/A</t>
        </is>
      </c>
      <c r="M53" t="inlineStr">
        <is>
          <t>No</t>
        </is>
      </c>
      <c r="N53">
        <f>INDEX(Pesos_Dimensiones!$C$2:$C$22,MATCH(B53,Pesos_Dimensiones!$A$2:$A$22,0))</f>
        <v/>
      </c>
      <c r="O53">
        <f>1/COUNTIF($B$2:$B$76,B53)</f>
        <v/>
      </c>
      <c r="P53">
        <f>IF(OR(C53="Base",C53="Adicional"),N53*O53,0)</f>
        <v/>
      </c>
      <c r="Q53">
        <f>K53*P53</f>
        <v/>
      </c>
    </row>
    <row r="54">
      <c r="A54" t="inlineStr">
        <is>
          <t>R053</t>
        </is>
      </c>
      <c r="B54" t="inlineStr">
        <is>
          <t>14. Sustancias Ilícitas</t>
        </is>
      </c>
      <c r="C54">
        <f>INDEX(Pesos_Dimensiones!$B$2:$B$22,MATCH(B54,Pesos_Dimensiones!$A$2:$A$22,0))</f>
        <v/>
      </c>
      <c r="D54" t="inlineStr">
        <is>
          <t>Justificación del consumo como recreativo</t>
        </is>
      </c>
      <c r="E54" t="inlineStr">
        <is>
          <t>1-Opinión/Actitud</t>
        </is>
      </c>
      <c r="F54" t="n">
        <v>0</v>
      </c>
      <c r="G54" t="n">
        <v>4</v>
      </c>
      <c r="H54" t="inlineStr">
        <is>
          <t>Directo</t>
        </is>
      </c>
      <c r="I54" t="n">
        <v>0</v>
      </c>
      <c r="J54">
        <f>IF(H54="Inverso",G54-I54,I54)</f>
        <v/>
      </c>
      <c r="K54">
        <f>IFERROR(J54/G54,0)</f>
        <v/>
      </c>
      <c r="L54" t="inlineStr">
        <is>
          <t>N/A</t>
        </is>
      </c>
      <c r="M54" t="inlineStr">
        <is>
          <t>No</t>
        </is>
      </c>
      <c r="N54">
        <f>INDEX(Pesos_Dimensiones!$C$2:$C$22,MATCH(B54,Pesos_Dimensiones!$A$2:$A$22,0))</f>
        <v/>
      </c>
      <c r="O54">
        <f>1/COUNTIF($B$2:$B$76,B54)</f>
        <v/>
      </c>
      <c r="P54">
        <f>IF(OR(C54="Base",C54="Adicional"),N54*O54,0)</f>
        <v/>
      </c>
      <c r="Q54">
        <f>K54*P54</f>
        <v/>
      </c>
    </row>
    <row r="55">
      <c r="A55" t="inlineStr">
        <is>
          <t>R054</t>
        </is>
      </c>
      <c r="B55" t="inlineStr">
        <is>
          <t>14. Sustancias Ilícitas</t>
        </is>
      </c>
      <c r="C55">
        <f>INDEX(Pesos_Dimensiones!$B$2:$B$22,MATCH(B55,Pesos_Dimensiones!$A$2:$A$22,0))</f>
        <v/>
      </c>
      <c r="D55" t="inlineStr">
        <is>
          <t>Disposición a consumir en contextos de riesgo laboral</t>
        </is>
      </c>
      <c r="E55" t="inlineStr">
        <is>
          <t>4-Escenario/dilema</t>
        </is>
      </c>
      <c r="F55" t="n">
        <v>0</v>
      </c>
      <c r="G55" t="n">
        <v>3</v>
      </c>
      <c r="H55" t="inlineStr">
        <is>
          <t>Directo</t>
        </is>
      </c>
      <c r="I55" t="n">
        <v>0</v>
      </c>
      <c r="J55">
        <f>IF(H55="Inverso",G55-I55,I55)</f>
        <v/>
      </c>
      <c r="K55">
        <f>IFERROR(J55/G55,0)</f>
        <v/>
      </c>
      <c r="L55" t="inlineStr">
        <is>
          <t>N/A</t>
        </is>
      </c>
      <c r="M55" t="inlineStr">
        <is>
          <t>No</t>
        </is>
      </c>
      <c r="N55">
        <f>INDEX(Pesos_Dimensiones!$C$2:$C$22,MATCH(B55,Pesos_Dimensiones!$A$2:$A$22,0))</f>
        <v/>
      </c>
      <c r="O55">
        <f>1/COUNTIF($B$2:$B$76,B55)</f>
        <v/>
      </c>
      <c r="P55">
        <f>IF(OR(C55="Base",C55="Adicional"),N55*O55,0)</f>
        <v/>
      </c>
      <c r="Q55">
        <f>K55*P55</f>
        <v/>
      </c>
    </row>
    <row r="56">
      <c r="A56" t="inlineStr">
        <is>
          <t>R055</t>
        </is>
      </c>
      <c r="B56" t="inlineStr">
        <is>
          <t>15. Incumplimiento de Normas</t>
        </is>
      </c>
      <c r="C56">
        <f>INDEX(Pesos_Dimensiones!$B$2:$B$22,MATCH(B56,Pesos_Dimensiones!$A$2:$A$22,0))</f>
        <v/>
      </c>
      <c r="D56" t="inlineStr">
        <is>
          <t>Actitud favorable a saltarse reglas convenientes</t>
        </is>
      </c>
      <c r="E56" t="inlineStr">
        <is>
          <t>1-Opinión/Actitud</t>
        </is>
      </c>
      <c r="F56" t="n">
        <v>0</v>
      </c>
      <c r="G56" t="n">
        <v>4</v>
      </c>
      <c r="H56" t="inlineStr">
        <is>
          <t>Directo</t>
        </is>
      </c>
      <c r="I56" t="n">
        <v>0</v>
      </c>
      <c r="J56">
        <f>IF(H56="Inverso",G56-I56,I56)</f>
        <v/>
      </c>
      <c r="K56">
        <f>IFERROR(J56/G56,0)</f>
        <v/>
      </c>
      <c r="L56" t="inlineStr">
        <is>
          <t>N/A</t>
        </is>
      </c>
      <c r="M56" t="inlineStr">
        <is>
          <t>No</t>
        </is>
      </c>
      <c r="N56">
        <f>INDEX(Pesos_Dimensiones!$C$2:$C$22,MATCH(B56,Pesos_Dimensiones!$A$2:$A$22,0))</f>
        <v/>
      </c>
      <c r="O56">
        <f>1/COUNTIF($B$2:$B$76,B56)</f>
        <v/>
      </c>
      <c r="P56">
        <f>IF(OR(C56="Base",C56="Adicional"),N56*O56,0)</f>
        <v/>
      </c>
      <c r="Q56">
        <f>K56*P56</f>
        <v/>
      </c>
    </row>
    <row r="57">
      <c r="A57" t="inlineStr">
        <is>
          <t>R056</t>
        </is>
      </c>
      <c r="B57" t="inlineStr">
        <is>
          <t>15. Incumplimiento de Normas</t>
        </is>
      </c>
      <c r="C57">
        <f>INDEX(Pesos_Dimensiones!$B$2:$B$22,MATCH(B57,Pesos_Dimensiones!$A$2:$A$22,0))</f>
        <v/>
      </c>
      <c r="D57" t="inlineStr">
        <is>
          <t>Frecuencia declarada de infracciones menores</t>
        </is>
      </c>
      <c r="E57" t="inlineStr">
        <is>
          <t>3-Involucramiento pasado</t>
        </is>
      </c>
      <c r="F57" t="n">
        <v>0</v>
      </c>
      <c r="G57" t="n">
        <v>4</v>
      </c>
      <c r="H57" t="inlineStr">
        <is>
          <t>Directo</t>
        </is>
      </c>
      <c r="I57" t="n">
        <v>0</v>
      </c>
      <c r="J57">
        <f>IF(H57="Inverso",G57-I57,I57)</f>
        <v/>
      </c>
      <c r="K57">
        <f>IFERROR(J57/G57,0)</f>
        <v/>
      </c>
      <c r="L57" t="inlineStr">
        <is>
          <t>N/A</t>
        </is>
      </c>
      <c r="M57" t="inlineStr">
        <is>
          <t>No</t>
        </is>
      </c>
      <c r="N57">
        <f>INDEX(Pesos_Dimensiones!$C$2:$C$22,MATCH(B57,Pesos_Dimensiones!$A$2:$A$22,0))</f>
        <v/>
      </c>
      <c r="O57">
        <f>1/COUNTIF($B$2:$B$76,B57)</f>
        <v/>
      </c>
      <c r="P57">
        <f>IF(OR(C57="Base",C57="Adicional"),N57*O57,0)</f>
        <v/>
      </c>
      <c r="Q57">
        <f>K57*P57</f>
        <v/>
      </c>
    </row>
    <row r="58">
      <c r="A58" t="inlineStr">
        <is>
          <t>R057</t>
        </is>
      </c>
      <c r="B58" t="inlineStr">
        <is>
          <t>15. Incumplimiento de Normas</t>
        </is>
      </c>
      <c r="C58">
        <f>INDEX(Pesos_Dimensiones!$B$2:$B$22,MATCH(B58,Pesos_Dimensiones!$A$2:$A$22,0))</f>
        <v/>
      </c>
      <c r="D58" t="inlineStr">
        <is>
          <t>Percepción de sanción por incumplir normas</t>
        </is>
      </c>
      <c r="E58" t="inlineStr">
        <is>
          <t>2-Percepción de terceros</t>
        </is>
      </c>
      <c r="F58" t="n">
        <v>0</v>
      </c>
      <c r="G58" t="n">
        <v>3</v>
      </c>
      <c r="H58" t="inlineStr">
        <is>
          <t>Directo</t>
        </is>
      </c>
      <c r="I58" t="n">
        <v>0</v>
      </c>
      <c r="J58">
        <f>IF(H58="Inverso",G58-I58,I58)</f>
        <v/>
      </c>
      <c r="K58">
        <f>IFERROR(J58/G58,0)</f>
        <v/>
      </c>
      <c r="L58" t="inlineStr">
        <is>
          <t>N/A</t>
        </is>
      </c>
      <c r="M58" t="inlineStr">
        <is>
          <t>No</t>
        </is>
      </c>
      <c r="N58">
        <f>INDEX(Pesos_Dimensiones!$C$2:$C$22,MATCH(B58,Pesos_Dimensiones!$A$2:$A$22,0))</f>
        <v/>
      </c>
      <c r="O58">
        <f>1/COUNTIF($B$2:$B$76,B58)</f>
        <v/>
      </c>
      <c r="P58">
        <f>IF(OR(C58="Base",C58="Adicional"),N58*O58,0)</f>
        <v/>
      </c>
      <c r="Q58">
        <f>K58*P58</f>
        <v/>
      </c>
    </row>
    <row r="59">
      <c r="A59" t="inlineStr">
        <is>
          <t>R058</t>
        </is>
      </c>
      <c r="B59" t="inlineStr">
        <is>
          <t>16. Deudas</t>
        </is>
      </c>
      <c r="C59">
        <f>INDEX(Pesos_Dimensiones!$B$2:$B$22,MATCH(B59,Pesos_Dimensiones!$A$2:$A$22,0))</f>
        <v/>
      </c>
      <c r="D59" t="inlineStr">
        <is>
          <t>Uso de deuda para bienes no esenciales</t>
        </is>
      </c>
      <c r="E59" t="inlineStr">
        <is>
          <t>3-Involucramiento pasado</t>
        </is>
      </c>
      <c r="F59" t="n">
        <v>0</v>
      </c>
      <c r="G59" t="n">
        <v>4</v>
      </c>
      <c r="H59" t="inlineStr">
        <is>
          <t>Directo</t>
        </is>
      </c>
      <c r="I59" t="n">
        <v>0</v>
      </c>
      <c r="J59">
        <f>IF(H59="Inverso",G59-I59,I59)</f>
        <v/>
      </c>
      <c r="K59">
        <f>IFERROR(J59/G59,0)</f>
        <v/>
      </c>
      <c r="L59" t="inlineStr">
        <is>
          <t>N/A</t>
        </is>
      </c>
      <c r="M59" t="inlineStr">
        <is>
          <t>No</t>
        </is>
      </c>
      <c r="N59">
        <f>INDEX(Pesos_Dimensiones!$C$2:$C$22,MATCH(B59,Pesos_Dimensiones!$A$2:$A$22,0))</f>
        <v/>
      </c>
      <c r="O59">
        <f>1/COUNTIF($B$2:$B$76,B59)</f>
        <v/>
      </c>
      <c r="P59">
        <f>IF(OR(C59="Base",C59="Adicional"),N59*O59,0)</f>
        <v/>
      </c>
      <c r="Q59">
        <f>K59*P59</f>
        <v/>
      </c>
    </row>
    <row r="60">
      <c r="A60" t="inlineStr">
        <is>
          <t>R059</t>
        </is>
      </c>
      <c r="B60" t="inlineStr">
        <is>
          <t>16. Deudas</t>
        </is>
      </c>
      <c r="C60">
        <f>INDEX(Pesos_Dimensiones!$B$2:$B$22,MATCH(B60,Pesos_Dimensiones!$A$2:$A$22,0))</f>
        <v/>
      </c>
      <c r="D60" t="inlineStr">
        <is>
          <t>Percepción de la deuda como solución habitual</t>
        </is>
      </c>
      <c r="E60" t="inlineStr">
        <is>
          <t>1-Opinión/Actitud</t>
        </is>
      </c>
      <c r="F60" t="n">
        <v>0</v>
      </c>
      <c r="G60" t="n">
        <v>4</v>
      </c>
      <c r="H60" t="inlineStr">
        <is>
          <t>Directo</t>
        </is>
      </c>
      <c r="I60" t="n">
        <v>0</v>
      </c>
      <c r="J60">
        <f>IF(H60="Inverso",G60-I60,I60)</f>
        <v/>
      </c>
      <c r="K60">
        <f>IFERROR(J60/G60,0)</f>
        <v/>
      </c>
      <c r="L60" t="inlineStr">
        <is>
          <t>N/A</t>
        </is>
      </c>
      <c r="M60" t="inlineStr">
        <is>
          <t>No</t>
        </is>
      </c>
      <c r="N60">
        <f>INDEX(Pesos_Dimensiones!$C$2:$C$22,MATCH(B60,Pesos_Dimensiones!$A$2:$A$22,0))</f>
        <v/>
      </c>
      <c r="O60">
        <f>1/COUNTIF($B$2:$B$76,B60)</f>
        <v/>
      </c>
      <c r="P60">
        <f>IF(OR(C60="Base",C60="Adicional"),N60*O60,0)</f>
        <v/>
      </c>
      <c r="Q60">
        <f>K60*P60</f>
        <v/>
      </c>
    </row>
    <row r="61">
      <c r="A61" t="inlineStr">
        <is>
          <t>R060</t>
        </is>
      </c>
      <c r="B61" t="inlineStr">
        <is>
          <t>16. Deudas</t>
        </is>
      </c>
      <c r="C61">
        <f>INDEX(Pesos_Dimensiones!$B$2:$B$22,MATCH(B61,Pesos_Dimensiones!$A$2:$A$22,0))</f>
        <v/>
      </c>
      <c r="D61" t="inlineStr">
        <is>
          <t>Presencia de múltiples compromisos de deuda simultáneos</t>
        </is>
      </c>
      <c r="E61" t="inlineStr">
        <is>
          <t>4-Escenario/dilema</t>
        </is>
      </c>
      <c r="F61" t="n">
        <v>0</v>
      </c>
      <c r="G61" t="n">
        <v>3</v>
      </c>
      <c r="H61" t="inlineStr">
        <is>
          <t>Directo</t>
        </is>
      </c>
      <c r="I61" t="n">
        <v>0</v>
      </c>
      <c r="J61">
        <f>IF(H61="Inverso",G61-I61,I61)</f>
        <v/>
      </c>
      <c r="K61">
        <f>IFERROR(J61/G61,0)</f>
        <v/>
      </c>
      <c r="L61" t="inlineStr">
        <is>
          <t>N/A</t>
        </is>
      </c>
      <c r="M61" t="inlineStr">
        <is>
          <t>No</t>
        </is>
      </c>
      <c r="N61">
        <f>INDEX(Pesos_Dimensiones!$C$2:$C$22,MATCH(B61,Pesos_Dimensiones!$A$2:$A$22,0))</f>
        <v/>
      </c>
      <c r="O61">
        <f>1/COUNTIF($B$2:$B$76,B61)</f>
        <v/>
      </c>
      <c r="P61">
        <f>IF(OR(C61="Base",C61="Adicional"),N61*O61,0)</f>
        <v/>
      </c>
      <c r="Q61">
        <f>K61*P61</f>
        <v/>
      </c>
    </row>
    <row r="62">
      <c r="A62" t="inlineStr">
        <is>
          <t>R061</t>
        </is>
      </c>
      <c r="B62" t="inlineStr">
        <is>
          <t>17. Impulsividad</t>
        </is>
      </c>
      <c r="C62">
        <f>INDEX(Pesos_Dimensiones!$B$2:$B$22,MATCH(B62,Pesos_Dimensiones!$A$2:$A$22,0))</f>
        <v/>
      </c>
      <c r="D62" t="inlineStr">
        <is>
          <t>Dificultad para postergar gratificación</t>
        </is>
      </c>
      <c r="E62" t="inlineStr">
        <is>
          <t>1-Opinión/Actitud</t>
        </is>
      </c>
      <c r="F62" t="n">
        <v>0</v>
      </c>
      <c r="G62" t="n">
        <v>4</v>
      </c>
      <c r="H62" t="inlineStr">
        <is>
          <t>Directo</t>
        </is>
      </c>
      <c r="I62" t="n">
        <v>0</v>
      </c>
      <c r="J62">
        <f>IF(H62="Inverso",G62-I62,I62)</f>
        <v/>
      </c>
      <c r="K62">
        <f>IFERROR(J62/G62,0)</f>
        <v/>
      </c>
      <c r="L62" t="inlineStr">
        <is>
          <t>N/A</t>
        </is>
      </c>
      <c r="M62" t="inlineStr">
        <is>
          <t>No</t>
        </is>
      </c>
      <c r="N62">
        <f>INDEX(Pesos_Dimensiones!$C$2:$C$22,MATCH(B62,Pesos_Dimensiones!$A$2:$A$22,0))</f>
        <v/>
      </c>
      <c r="O62">
        <f>1/COUNTIF($B$2:$B$76,B62)</f>
        <v/>
      </c>
      <c r="P62">
        <f>IF(OR(C62="Base",C62="Adicional"),N62*O62,0)</f>
        <v/>
      </c>
      <c r="Q62">
        <f>K62*P62</f>
        <v/>
      </c>
    </row>
    <row r="63">
      <c r="A63" t="inlineStr">
        <is>
          <t>R062</t>
        </is>
      </c>
      <c r="B63" t="inlineStr">
        <is>
          <t>17. Impulsividad</t>
        </is>
      </c>
      <c r="C63">
        <f>INDEX(Pesos_Dimensiones!$B$2:$B$22,MATCH(B63,Pesos_Dimensiones!$A$2:$A$22,0))</f>
        <v/>
      </c>
      <c r="D63" t="inlineStr">
        <is>
          <t>Frecuencia de decisiones apresuradas con arrepentimiento</t>
        </is>
      </c>
      <c r="E63" t="inlineStr">
        <is>
          <t>3-Involucramiento pasado</t>
        </is>
      </c>
      <c r="F63" t="n">
        <v>0</v>
      </c>
      <c r="G63" t="n">
        <v>4</v>
      </c>
      <c r="H63" t="inlineStr">
        <is>
          <t>Directo</t>
        </is>
      </c>
      <c r="I63" t="n">
        <v>0</v>
      </c>
      <c r="J63">
        <f>IF(H63="Inverso",G63-I63,I63)</f>
        <v/>
      </c>
      <c r="K63">
        <f>IFERROR(J63/G63,0)</f>
        <v/>
      </c>
      <c r="L63" t="inlineStr">
        <is>
          <t>N/A</t>
        </is>
      </c>
      <c r="M63" t="inlineStr">
        <is>
          <t>No</t>
        </is>
      </c>
      <c r="N63">
        <f>INDEX(Pesos_Dimensiones!$C$2:$C$22,MATCH(B63,Pesos_Dimensiones!$A$2:$A$22,0))</f>
        <v/>
      </c>
      <c r="O63">
        <f>1/COUNTIF($B$2:$B$76,B63)</f>
        <v/>
      </c>
      <c r="P63">
        <f>IF(OR(C63="Base",C63="Adicional"),N63*O63,0)</f>
        <v/>
      </c>
      <c r="Q63">
        <f>K63*P63</f>
        <v/>
      </c>
    </row>
    <row r="64">
      <c r="A64" t="inlineStr">
        <is>
          <t>R063</t>
        </is>
      </c>
      <c r="B64" t="inlineStr">
        <is>
          <t>17. Impulsividad</t>
        </is>
      </c>
      <c r="C64">
        <f>INDEX(Pesos_Dimensiones!$B$2:$B$22,MATCH(B64,Pesos_Dimensiones!$A$2:$A$22,0))</f>
        <v/>
      </c>
      <c r="D64" t="inlineStr">
        <is>
          <t>Preferencia por beneficio inmediato con riesgo conocido</t>
        </is>
      </c>
      <c r="E64" t="inlineStr">
        <is>
          <t>4-Escenario/dilema</t>
        </is>
      </c>
      <c r="F64" t="n">
        <v>0</v>
      </c>
      <c r="G64" t="n">
        <v>3</v>
      </c>
      <c r="H64" t="inlineStr">
        <is>
          <t>Directo</t>
        </is>
      </c>
      <c r="I64" t="n">
        <v>0</v>
      </c>
      <c r="J64">
        <f>IF(H64="Inverso",G64-I64,I64)</f>
        <v/>
      </c>
      <c r="K64">
        <f>IFERROR(J64/G64,0)</f>
        <v/>
      </c>
      <c r="L64" t="inlineStr">
        <is>
          <t>N/A</t>
        </is>
      </c>
      <c r="M64" t="inlineStr">
        <is>
          <t>No</t>
        </is>
      </c>
      <c r="N64">
        <f>INDEX(Pesos_Dimensiones!$C$2:$C$22,MATCH(B64,Pesos_Dimensiones!$A$2:$A$22,0))</f>
        <v/>
      </c>
      <c r="O64">
        <f>1/COUNTIF($B$2:$B$76,B64)</f>
        <v/>
      </c>
      <c r="P64">
        <f>IF(OR(C64="Base",C64="Adicional"),N64*O64,0)</f>
        <v/>
      </c>
      <c r="Q64">
        <f>K64*P64</f>
        <v/>
      </c>
    </row>
    <row r="65">
      <c r="A65" t="inlineStr">
        <is>
          <t>R064</t>
        </is>
      </c>
      <c r="B65" t="inlineStr">
        <is>
          <t>18. Violencia</t>
        </is>
      </c>
      <c r="C65">
        <f>INDEX(Pesos_Dimensiones!$B$2:$B$22,MATCH(B65,Pesos_Dimensiones!$A$2:$A$22,0))</f>
        <v/>
      </c>
      <c r="D65" t="inlineStr">
        <is>
          <t>Disposición a la agresión verbal ante el conflicto</t>
        </is>
      </c>
      <c r="E65" t="inlineStr">
        <is>
          <t>1-Opinión/Actitud</t>
        </is>
      </c>
      <c r="F65" t="n">
        <v>0</v>
      </c>
      <c r="G65" t="n">
        <v>4</v>
      </c>
      <c r="H65" t="inlineStr">
        <is>
          <t>Directo</t>
        </is>
      </c>
      <c r="I65" t="n">
        <v>0</v>
      </c>
      <c r="J65">
        <f>IF(H65="Inverso",G65-I65,I65)</f>
        <v/>
      </c>
      <c r="K65">
        <f>IFERROR(J65/G65,0)</f>
        <v/>
      </c>
      <c r="L65" t="inlineStr">
        <is>
          <t>N/A</t>
        </is>
      </c>
      <c r="M65" t="inlineStr">
        <is>
          <t>No</t>
        </is>
      </c>
      <c r="N65">
        <f>INDEX(Pesos_Dimensiones!$C$2:$C$22,MATCH(B65,Pesos_Dimensiones!$A$2:$A$22,0))</f>
        <v/>
      </c>
      <c r="O65">
        <f>1/COUNTIF($B$2:$B$76,B65)</f>
        <v/>
      </c>
      <c r="P65">
        <f>IF(OR(C65="Base",C65="Adicional"),N65*O65,0)</f>
        <v/>
      </c>
      <c r="Q65">
        <f>K65*P65</f>
        <v/>
      </c>
    </row>
    <row r="66">
      <c r="A66" t="inlineStr">
        <is>
          <t>R065</t>
        </is>
      </c>
      <c r="B66" t="inlineStr">
        <is>
          <t>18. Violencia</t>
        </is>
      </c>
      <c r="C66">
        <f>INDEX(Pesos_Dimensiones!$B$2:$B$22,MATCH(B66,Pesos_Dimensiones!$A$2:$A$22,0))</f>
        <v/>
      </c>
      <c r="D66" t="inlineStr">
        <is>
          <t>Involucramiento pasado en agresión física o intimidación</t>
        </is>
      </c>
      <c r="E66" t="inlineStr">
        <is>
          <t>3-Involucramiento pasado</t>
        </is>
      </c>
      <c r="F66" t="n">
        <v>0</v>
      </c>
      <c r="G66" t="n">
        <v>4</v>
      </c>
      <c r="H66" t="inlineStr">
        <is>
          <t>Directo</t>
        </is>
      </c>
      <c r="I66" t="n">
        <v>0</v>
      </c>
      <c r="J66">
        <f>IF(H66="Inverso",G66-I66,I66)</f>
        <v/>
      </c>
      <c r="K66">
        <f>IFERROR(J66/G66,0)</f>
        <v/>
      </c>
      <c r="L66" t="inlineStr">
        <is>
          <t>N/A</t>
        </is>
      </c>
      <c r="M66" t="inlineStr">
        <is>
          <t>No</t>
        </is>
      </c>
      <c r="N66">
        <f>INDEX(Pesos_Dimensiones!$C$2:$C$22,MATCH(B66,Pesos_Dimensiones!$A$2:$A$22,0))</f>
        <v/>
      </c>
      <c r="O66">
        <f>1/COUNTIF($B$2:$B$76,B66)</f>
        <v/>
      </c>
      <c r="P66">
        <f>IF(OR(C66="Base",C66="Adicional"),N66*O66,0)</f>
        <v/>
      </c>
      <c r="Q66">
        <f>K66*P66</f>
        <v/>
      </c>
    </row>
    <row r="67">
      <c r="A67" t="inlineStr">
        <is>
          <t>R066</t>
        </is>
      </c>
      <c r="B67" t="inlineStr">
        <is>
          <t>18. Violencia</t>
        </is>
      </c>
      <c r="C67">
        <f>INDEX(Pesos_Dimensiones!$B$2:$B$22,MATCH(B67,Pesos_Dimensiones!$A$2:$A$22,0))</f>
        <v/>
      </c>
      <c r="D67" t="inlineStr">
        <is>
          <t>Justificación de la violencia como respuesta a provocación</t>
        </is>
      </c>
      <c r="E67" t="inlineStr">
        <is>
          <t>4-Escenario/dilema</t>
        </is>
      </c>
      <c r="F67" t="n">
        <v>0</v>
      </c>
      <c r="G67" t="n">
        <v>3</v>
      </c>
      <c r="H67" t="inlineStr">
        <is>
          <t>Directo</t>
        </is>
      </c>
      <c r="I67" t="n">
        <v>0</v>
      </c>
      <c r="J67">
        <f>IF(H67="Inverso",G67-I67,I67)</f>
        <v/>
      </c>
      <c r="K67">
        <f>IFERROR(J67/G67,0)</f>
        <v/>
      </c>
      <c r="L67" t="inlineStr">
        <is>
          <t>N/A</t>
        </is>
      </c>
      <c r="M67" t="inlineStr">
        <is>
          <t>No</t>
        </is>
      </c>
      <c r="N67">
        <f>INDEX(Pesos_Dimensiones!$C$2:$C$22,MATCH(B67,Pesos_Dimensiones!$A$2:$A$22,0))</f>
        <v/>
      </c>
      <c r="O67">
        <f>1/COUNTIF($B$2:$B$76,B67)</f>
        <v/>
      </c>
      <c r="P67">
        <f>IF(OR(C67="Base",C67="Adicional"),N67*O67,0)</f>
        <v/>
      </c>
      <c r="Q67">
        <f>K67*P67</f>
        <v/>
      </c>
    </row>
    <row r="68">
      <c r="A68" t="inlineStr">
        <is>
          <t>R067</t>
        </is>
      </c>
      <c r="B68" t="inlineStr">
        <is>
          <t>19. Ludopatía</t>
        </is>
      </c>
      <c r="C68">
        <f>INDEX(Pesos_Dimensiones!$B$2:$B$22,MATCH(B68,Pesos_Dimensiones!$A$2:$A$22,0))</f>
        <v/>
      </c>
      <c r="D68" t="inlineStr">
        <is>
          <t>Frecuencia e intensidad de apuestas de dinero</t>
        </is>
      </c>
      <c r="E68" t="inlineStr">
        <is>
          <t>3-Involucramiento pasado</t>
        </is>
      </c>
      <c r="F68" t="n">
        <v>0</v>
      </c>
      <c r="G68" t="n">
        <v>3</v>
      </c>
      <c r="H68" t="inlineStr">
        <is>
          <t>Directo</t>
        </is>
      </c>
      <c r="I68" t="n">
        <v>0</v>
      </c>
      <c r="J68">
        <f>IF(H68="Inverso",G68-I68,I68)</f>
        <v/>
      </c>
      <c r="K68">
        <f>IFERROR(J68/G68,0)</f>
        <v/>
      </c>
      <c r="L68" t="inlineStr">
        <is>
          <t>N/A</t>
        </is>
      </c>
      <c r="M68" t="inlineStr">
        <is>
          <t>No</t>
        </is>
      </c>
      <c r="N68">
        <f>INDEX(Pesos_Dimensiones!$C$2:$C$22,MATCH(B68,Pesos_Dimensiones!$A$2:$A$22,0))</f>
        <v/>
      </c>
      <c r="O68">
        <f>1/COUNTIF($B$2:$B$76,B68)</f>
        <v/>
      </c>
      <c r="P68">
        <f>IF(OR(C68="Base",C68="Adicional"),N68*O68,0)</f>
        <v/>
      </c>
      <c r="Q68">
        <f>K68*P68</f>
        <v/>
      </c>
    </row>
    <row r="69">
      <c r="A69" t="inlineStr">
        <is>
          <t>R068</t>
        </is>
      </c>
      <c r="B69" t="inlineStr">
        <is>
          <t>19. Ludopatía</t>
        </is>
      </c>
      <c r="C69">
        <f>INDEX(Pesos_Dimensiones!$B$2:$B$22,MATCH(B69,Pesos_Dimensiones!$A$2:$A$22,0))</f>
        <v/>
      </c>
      <c r="D69" t="inlineStr">
        <is>
          <t>Persistencia en el juego a pesar de pérdidas</t>
        </is>
      </c>
      <c r="E69" t="inlineStr">
        <is>
          <t>1-Opinión/Actitud</t>
        </is>
      </c>
      <c r="F69" t="n">
        <v>0</v>
      </c>
      <c r="G69" t="n">
        <v>4</v>
      </c>
      <c r="H69" t="inlineStr">
        <is>
          <t>Directo</t>
        </is>
      </c>
      <c r="I69" t="n">
        <v>0</v>
      </c>
      <c r="J69">
        <f>IF(H69="Inverso",G69-I69,I69)</f>
        <v/>
      </c>
      <c r="K69">
        <f>IFERROR(J69/G69,0)</f>
        <v/>
      </c>
      <c r="L69" t="inlineStr">
        <is>
          <t>N/A</t>
        </is>
      </c>
      <c r="M69" t="inlineStr">
        <is>
          <t>No</t>
        </is>
      </c>
      <c r="N69">
        <f>INDEX(Pesos_Dimensiones!$C$2:$C$22,MATCH(B69,Pesos_Dimensiones!$A$2:$A$22,0))</f>
        <v/>
      </c>
      <c r="O69">
        <f>1/COUNTIF($B$2:$B$76,B69)</f>
        <v/>
      </c>
      <c r="P69">
        <f>IF(OR(C69="Base",C69="Adicional"),N69*O69,0)</f>
        <v/>
      </c>
      <c r="Q69">
        <f>K69*P69</f>
        <v/>
      </c>
    </row>
    <row r="70">
      <c r="A70" t="inlineStr">
        <is>
          <t>R069</t>
        </is>
      </c>
      <c r="B70" t="inlineStr">
        <is>
          <t>19. Ludopatía</t>
        </is>
      </c>
      <c r="C70">
        <f>INDEX(Pesos_Dimensiones!$B$2:$B$22,MATCH(B70,Pesos_Dimensiones!$A$2:$A$22,0))</f>
        <v/>
      </c>
      <c r="D70" t="inlineStr">
        <is>
          <t>Uso de recursos de otras necesidades para apostar</t>
        </is>
      </c>
      <c r="E70" t="inlineStr">
        <is>
          <t>4-Escenario/dilema</t>
        </is>
      </c>
      <c r="F70" t="n">
        <v>0</v>
      </c>
      <c r="G70" t="n">
        <v>3</v>
      </c>
      <c r="H70" t="inlineStr">
        <is>
          <t>Directo</t>
        </is>
      </c>
      <c r="I70" t="n">
        <v>0</v>
      </c>
      <c r="J70">
        <f>IF(H70="Inverso",G70-I70,I70)</f>
        <v/>
      </c>
      <c r="K70">
        <f>IFERROR(J70/G70,0)</f>
        <v/>
      </c>
      <c r="L70" t="inlineStr">
        <is>
          <t>N/A</t>
        </is>
      </c>
      <c r="M70" t="inlineStr">
        <is>
          <t>No</t>
        </is>
      </c>
      <c r="N70">
        <f>INDEX(Pesos_Dimensiones!$C$2:$C$22,MATCH(B70,Pesos_Dimensiones!$A$2:$A$22,0))</f>
        <v/>
      </c>
      <c r="O70">
        <f>1/COUNTIF($B$2:$B$76,B70)</f>
        <v/>
      </c>
      <c r="P70">
        <f>IF(OR(C70="Base",C70="Adicional"),N70*O70,0)</f>
        <v/>
      </c>
      <c r="Q70">
        <f>K70*P70</f>
        <v/>
      </c>
    </row>
    <row r="71">
      <c r="A71" t="inlineStr">
        <is>
          <t>R070</t>
        </is>
      </c>
      <c r="B71" t="inlineStr">
        <is>
          <t>20. Egoísmo</t>
        </is>
      </c>
      <c r="C71">
        <f>INDEX(Pesos_Dimensiones!$B$2:$B$22,MATCH(B71,Pesos_Dimensiones!$A$2:$A$22,0))</f>
        <v/>
      </c>
      <c r="D71" t="inlineStr">
        <is>
          <t>Priorización sistemática del interés propio</t>
        </is>
      </c>
      <c r="E71" t="inlineStr">
        <is>
          <t>1-Opinión/Actitud</t>
        </is>
      </c>
      <c r="F71" t="n">
        <v>0</v>
      </c>
      <c r="G71" t="n">
        <v>4</v>
      </c>
      <c r="H71" t="inlineStr">
        <is>
          <t>Directo</t>
        </is>
      </c>
      <c r="I71" t="n">
        <v>0</v>
      </c>
      <c r="J71">
        <f>IF(H71="Inverso",G71-I71,I71)</f>
        <v/>
      </c>
      <c r="K71">
        <f>IFERROR(J71/G71,0)</f>
        <v/>
      </c>
      <c r="L71" t="inlineStr">
        <is>
          <t>N/A</t>
        </is>
      </c>
      <c r="M71" t="inlineStr">
        <is>
          <t>No</t>
        </is>
      </c>
      <c r="N71">
        <f>INDEX(Pesos_Dimensiones!$C$2:$C$22,MATCH(B71,Pesos_Dimensiones!$A$2:$A$22,0))</f>
        <v/>
      </c>
      <c r="O71">
        <f>1/COUNTIF($B$2:$B$76,B71)</f>
        <v/>
      </c>
      <c r="P71">
        <f>IF(OR(C71="Base",C71="Adicional"),N71*O71,0)</f>
        <v/>
      </c>
      <c r="Q71">
        <f>K71*P71</f>
        <v/>
      </c>
    </row>
    <row r="72">
      <c r="A72" t="inlineStr">
        <is>
          <t>R071</t>
        </is>
      </c>
      <c r="B72" t="inlineStr">
        <is>
          <t>20. Egoísmo</t>
        </is>
      </c>
      <c r="C72">
        <f>INDEX(Pesos_Dimensiones!$B$2:$B$22,MATCH(B72,Pesos_Dimensiones!$A$2:$A$22,0))</f>
        <v/>
      </c>
      <c r="D72" t="inlineStr">
        <is>
          <t>Baja disposición a cooperar sin beneficio directo</t>
        </is>
      </c>
      <c r="E72" t="inlineStr">
        <is>
          <t>3-Involucramiento pasado</t>
        </is>
      </c>
      <c r="F72" t="n">
        <v>0</v>
      </c>
      <c r="G72" t="n">
        <v>4</v>
      </c>
      <c r="H72" t="inlineStr">
        <is>
          <t>Directo</t>
        </is>
      </c>
      <c r="I72" t="n">
        <v>0</v>
      </c>
      <c r="J72">
        <f>IF(H72="Inverso",G72-I72,I72)</f>
        <v/>
      </c>
      <c r="K72">
        <f>IFERROR(J72/G72,0)</f>
        <v/>
      </c>
      <c r="L72" t="inlineStr">
        <is>
          <t>N/A</t>
        </is>
      </c>
      <c r="M72" t="inlineStr">
        <is>
          <t>No</t>
        </is>
      </c>
      <c r="N72">
        <f>INDEX(Pesos_Dimensiones!$C$2:$C$22,MATCH(B72,Pesos_Dimensiones!$A$2:$A$22,0))</f>
        <v/>
      </c>
      <c r="O72">
        <f>1/COUNTIF($B$2:$B$76,B72)</f>
        <v/>
      </c>
      <c r="P72">
        <f>IF(OR(C72="Base",C72="Adicional"),N72*O72,0)</f>
        <v/>
      </c>
      <c r="Q72">
        <f>K72*P72</f>
        <v/>
      </c>
    </row>
    <row r="73">
      <c r="A73" t="inlineStr">
        <is>
          <t>R072</t>
        </is>
      </c>
      <c r="B73" t="inlineStr">
        <is>
          <t>20. Egoísmo</t>
        </is>
      </c>
      <c r="C73">
        <f>INDEX(Pesos_Dimensiones!$B$2:$B$22,MATCH(B73,Pesos_Dimensiones!$A$2:$A$22,0))</f>
        <v/>
      </c>
      <c r="D73" t="inlineStr">
        <is>
          <t>Indiferencia ante el impacto de decisiones propias en otros</t>
        </is>
      </c>
      <c r="E73" t="inlineStr">
        <is>
          <t>4-Escenario/dilema</t>
        </is>
      </c>
      <c r="F73" t="n">
        <v>0</v>
      </c>
      <c r="G73" t="n">
        <v>3</v>
      </c>
      <c r="H73" t="inlineStr">
        <is>
          <t>Directo</t>
        </is>
      </c>
      <c r="I73" t="n">
        <v>0</v>
      </c>
      <c r="J73">
        <f>IF(H73="Inverso",G73-I73,I73)</f>
        <v/>
      </c>
      <c r="K73">
        <f>IFERROR(J73/G73,0)</f>
        <v/>
      </c>
      <c r="L73" t="inlineStr">
        <is>
          <t>N/A</t>
        </is>
      </c>
      <c r="M73" t="inlineStr">
        <is>
          <t>No</t>
        </is>
      </c>
      <c r="N73">
        <f>INDEX(Pesos_Dimensiones!$C$2:$C$22,MATCH(B73,Pesos_Dimensiones!$A$2:$A$22,0))</f>
        <v/>
      </c>
      <c r="O73">
        <f>1/COUNTIF($B$2:$B$76,B73)</f>
        <v/>
      </c>
      <c r="P73">
        <f>IF(OR(C73="Base",C73="Adicional"),N73*O73,0)</f>
        <v/>
      </c>
      <c r="Q73">
        <f>K73*P73</f>
        <v/>
      </c>
    </row>
    <row r="74">
      <c r="A74" t="inlineStr">
        <is>
          <t>R073</t>
        </is>
      </c>
      <c r="B74" t="inlineStr">
        <is>
          <t>21. Impunidad</t>
        </is>
      </c>
      <c r="C74">
        <f>INDEX(Pesos_Dimensiones!$B$2:$B$22,MATCH(B74,Pesos_Dimensiones!$A$2:$A$22,0))</f>
        <v/>
      </c>
      <c r="D74" t="inlineStr">
        <is>
          <t>Percepción de baja probabilidad de ser descubierto</t>
        </is>
      </c>
      <c r="E74" t="inlineStr">
        <is>
          <t>1-Opinión/Actitud</t>
        </is>
      </c>
      <c r="F74" t="n">
        <v>0</v>
      </c>
      <c r="G74" t="n">
        <v>4</v>
      </c>
      <c r="H74" t="inlineStr">
        <is>
          <t>Directo</t>
        </is>
      </c>
      <c r="I74" t="n">
        <v>0</v>
      </c>
      <c r="J74">
        <f>IF(H74="Inverso",G74-I74,I74)</f>
        <v/>
      </c>
      <c r="K74">
        <f>IFERROR(J74/G74,0)</f>
        <v/>
      </c>
      <c r="L74" t="inlineStr">
        <is>
          <t>N/A</t>
        </is>
      </c>
      <c r="M74" t="inlineStr">
        <is>
          <t>No</t>
        </is>
      </c>
      <c r="N74">
        <f>INDEX(Pesos_Dimensiones!$C$2:$C$22,MATCH(B74,Pesos_Dimensiones!$A$2:$A$22,0))</f>
        <v/>
      </c>
      <c r="O74">
        <f>1/COUNTIF($B$2:$B$76,B74)</f>
        <v/>
      </c>
      <c r="P74">
        <f>IF(OR(C74="Base",C74="Adicional"),N74*O74,0)</f>
        <v/>
      </c>
      <c r="Q74">
        <f>K74*P74</f>
        <v/>
      </c>
    </row>
    <row r="75">
      <c r="A75" t="inlineStr">
        <is>
          <t>R074</t>
        </is>
      </c>
      <c r="B75" t="inlineStr">
        <is>
          <t>21. Impunidad</t>
        </is>
      </c>
      <c r="C75">
        <f>INDEX(Pesos_Dimensiones!$B$2:$B$22,MATCH(B75,Pesos_Dimensiones!$A$2:$A$22,0))</f>
        <v/>
      </c>
      <c r="D75" t="inlineStr">
        <is>
          <t>Historial percibido de conductas sin consecuencias</t>
        </is>
      </c>
      <c r="E75" t="inlineStr">
        <is>
          <t>3-Involucramiento pasado</t>
        </is>
      </c>
      <c r="F75" t="n">
        <v>0</v>
      </c>
      <c r="G75" t="n">
        <v>4</v>
      </c>
      <c r="H75" t="inlineStr">
        <is>
          <t>Directo</t>
        </is>
      </c>
      <c r="I75" t="n">
        <v>0</v>
      </c>
      <c r="J75">
        <f>IF(H75="Inverso",G75-I75,I75)</f>
        <v/>
      </c>
      <c r="K75">
        <f>IFERROR(J75/G75,0)</f>
        <v/>
      </c>
      <c r="L75" t="inlineStr">
        <is>
          <t>N/A</t>
        </is>
      </c>
      <c r="M75" t="inlineStr">
        <is>
          <t>No</t>
        </is>
      </c>
      <c r="N75">
        <f>INDEX(Pesos_Dimensiones!$C$2:$C$22,MATCH(B75,Pesos_Dimensiones!$A$2:$A$22,0))</f>
        <v/>
      </c>
      <c r="O75">
        <f>1/COUNTIF($B$2:$B$76,B75)</f>
        <v/>
      </c>
      <c r="P75">
        <f>IF(OR(C75="Base",C75="Adicional"),N75*O75,0)</f>
        <v/>
      </c>
      <c r="Q75">
        <f>K75*P75</f>
        <v/>
      </c>
    </row>
    <row r="76">
      <c r="A76" t="inlineStr">
        <is>
          <t>R075</t>
        </is>
      </c>
      <c r="B76" t="inlineStr">
        <is>
          <t>21. Impunidad</t>
        </is>
      </c>
      <c r="C76">
        <f>INDEX(Pesos_Dimensiones!$B$2:$B$22,MATCH(B76,Pesos_Dimensiones!$A$2:$A$22,0))</f>
        <v/>
      </c>
      <c r="D76" t="inlineStr">
        <is>
          <t>Creencia en la ineficacia de los sistemas de control</t>
        </is>
      </c>
      <c r="E76" t="inlineStr">
        <is>
          <t>2-Percepción de terceros</t>
        </is>
      </c>
      <c r="F76" t="n">
        <v>0</v>
      </c>
      <c r="G76" t="n">
        <v>3</v>
      </c>
      <c r="H76" t="inlineStr">
        <is>
          <t>Directo</t>
        </is>
      </c>
      <c r="I76" t="n">
        <v>0</v>
      </c>
      <c r="J76">
        <f>IF(H76="Inverso",G76-I76,I76)</f>
        <v/>
      </c>
      <c r="K76">
        <f>IFERROR(J76/G76,0)</f>
        <v/>
      </c>
      <c r="L76" t="inlineStr">
        <is>
          <t>N/A</t>
        </is>
      </c>
      <c r="M76" t="inlineStr">
        <is>
          <t>No</t>
        </is>
      </c>
      <c r="N76">
        <f>INDEX(Pesos_Dimensiones!$C$2:$C$22,MATCH(B76,Pesos_Dimensiones!$A$2:$A$22,0))</f>
        <v/>
      </c>
      <c r="O76">
        <f>1/COUNTIF($B$2:$B$76,B76)</f>
        <v/>
      </c>
      <c r="P76">
        <f>IF(OR(C76="Base",C76="Adicional"),N76*O76,0)</f>
        <v/>
      </c>
      <c r="Q76">
        <f>K76*P76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6" customWidth="1" min="1" max="1"/>
    <col width="11" customWidth="1" min="2" max="2"/>
    <col width="42" customWidth="1" min="3" max="3"/>
    <col width="42" customWidth="1" min="4" max="4"/>
  </cols>
  <sheetData>
    <row r="1">
      <c r="A1" s="1" t="inlineStr">
        <is>
          <t>Dimension</t>
        </is>
      </c>
      <c r="B1" s="1" t="inlineStr">
        <is>
          <t>Grupo</t>
        </is>
      </c>
      <c r="C1" s="1" t="inlineStr">
        <is>
          <t>Peso en el indice general (Base+Adicional, parametrizable, debe sumar 1.00)</t>
        </is>
      </c>
      <c r="D1" s="1" t="inlineStr">
        <is>
          <t>Peso como moderador (Contextual, parametrizable, informativo)</t>
        </is>
      </c>
    </row>
    <row r="2">
      <c r="A2" t="inlineStr">
        <is>
          <t>1. Robo</t>
        </is>
      </c>
      <c r="B2" t="inlineStr">
        <is>
          <t>Base</t>
        </is>
      </c>
      <c r="C2">
        <f>1/12</f>
        <v/>
      </c>
    </row>
    <row r="3">
      <c r="A3" t="inlineStr">
        <is>
          <t>2. Mentira</t>
        </is>
      </c>
      <c r="B3" t="inlineStr">
        <is>
          <t>Base</t>
        </is>
      </c>
      <c r="C3">
        <f>1/12</f>
        <v/>
      </c>
    </row>
    <row r="4">
      <c r="A4" t="inlineStr">
        <is>
          <t>3. Fraude</t>
        </is>
      </c>
      <c r="B4" t="inlineStr">
        <is>
          <t>Base</t>
        </is>
      </c>
      <c r="C4">
        <f>1/12</f>
        <v/>
      </c>
    </row>
    <row r="5">
      <c r="A5" t="inlineStr">
        <is>
          <t>4. Irresponsabilidad</t>
        </is>
      </c>
      <c r="B5" t="inlineStr">
        <is>
          <t>Base</t>
        </is>
      </c>
      <c r="C5">
        <f>1/12</f>
        <v/>
      </c>
    </row>
    <row r="6">
      <c r="A6" t="inlineStr">
        <is>
          <t>5. Soborno</t>
        </is>
      </c>
      <c r="B6" t="inlineStr">
        <is>
          <t>Base</t>
        </is>
      </c>
      <c r="C6">
        <f>1/12</f>
        <v/>
      </c>
    </row>
    <row r="7">
      <c r="A7" t="inlineStr">
        <is>
          <t>6. Deslealtad</t>
        </is>
      </c>
      <c r="B7" t="inlineStr">
        <is>
          <t>Adicional</t>
        </is>
      </c>
      <c r="C7">
        <f>1/12</f>
        <v/>
      </c>
    </row>
    <row r="8">
      <c r="A8" t="inlineStr">
        <is>
          <t>7. Favoritismo</t>
        </is>
      </c>
      <c r="B8" t="inlineStr">
        <is>
          <t>Adicional</t>
        </is>
      </c>
      <c r="C8">
        <f>1/12</f>
        <v/>
      </c>
    </row>
    <row r="9">
      <c r="A9" t="inlineStr">
        <is>
          <t>8. Abuso de Recursos</t>
        </is>
      </c>
      <c r="B9" t="inlineStr">
        <is>
          <t>Adicional</t>
        </is>
      </c>
      <c r="C9">
        <f>1/12</f>
        <v/>
      </c>
    </row>
    <row r="10">
      <c r="A10" t="inlineStr">
        <is>
          <t>9. Acoso Sexual</t>
        </is>
      </c>
      <c r="B10" t="inlineStr">
        <is>
          <t>Adicional</t>
        </is>
      </c>
      <c r="C10">
        <f>1/12</f>
        <v/>
      </c>
    </row>
    <row r="11">
      <c r="A11" t="inlineStr">
        <is>
          <t>10. Maltrato Laboral</t>
        </is>
      </c>
      <c r="B11" t="inlineStr">
        <is>
          <t>Adicional</t>
        </is>
      </c>
      <c r="C11">
        <f>1/12</f>
        <v/>
      </c>
    </row>
    <row r="12">
      <c r="A12" t="inlineStr">
        <is>
          <t>11. Discriminación</t>
        </is>
      </c>
      <c r="B12" t="inlineStr">
        <is>
          <t>Adicional</t>
        </is>
      </c>
      <c r="C12">
        <f>1/12</f>
        <v/>
      </c>
    </row>
    <row r="13">
      <c r="A13" t="inlineStr">
        <is>
          <t>12. Asociación Criminal</t>
        </is>
      </c>
      <c r="B13" t="inlineStr">
        <is>
          <t>Adicional</t>
        </is>
      </c>
      <c r="C13">
        <f>1/12</f>
        <v/>
      </c>
    </row>
    <row r="14">
      <c r="A14" t="inlineStr">
        <is>
          <t>13. Sustancias Lícitas</t>
        </is>
      </c>
      <c r="B14" t="inlineStr">
        <is>
          <t>Contextual</t>
        </is>
      </c>
      <c r="D14">
        <f>1/9</f>
        <v/>
      </c>
    </row>
    <row r="15">
      <c r="A15" t="inlineStr">
        <is>
          <t>14. Sustancias Ilícitas</t>
        </is>
      </c>
      <c r="B15" t="inlineStr">
        <is>
          <t>Contextual</t>
        </is>
      </c>
      <c r="D15">
        <f>1/9</f>
        <v/>
      </c>
    </row>
    <row r="16">
      <c r="A16" t="inlineStr">
        <is>
          <t>15. Incumplimiento de Normas</t>
        </is>
      </c>
      <c r="B16" t="inlineStr">
        <is>
          <t>Contextual</t>
        </is>
      </c>
      <c r="D16">
        <f>1/9</f>
        <v/>
      </c>
    </row>
    <row r="17">
      <c r="A17" t="inlineStr">
        <is>
          <t>16. Deudas</t>
        </is>
      </c>
      <c r="B17" t="inlineStr">
        <is>
          <t>Contextual</t>
        </is>
      </c>
      <c r="D17">
        <f>1/9</f>
        <v/>
      </c>
    </row>
    <row r="18">
      <c r="A18" t="inlineStr">
        <is>
          <t>17. Impulsividad</t>
        </is>
      </c>
      <c r="B18" t="inlineStr">
        <is>
          <t>Contextual</t>
        </is>
      </c>
      <c r="D18">
        <f>1/9</f>
        <v/>
      </c>
    </row>
    <row r="19">
      <c r="A19" t="inlineStr">
        <is>
          <t>18. Violencia</t>
        </is>
      </c>
      <c r="B19" t="inlineStr">
        <is>
          <t>Contextual</t>
        </is>
      </c>
      <c r="D19">
        <f>1/9</f>
        <v/>
      </c>
    </row>
    <row r="20">
      <c r="A20" t="inlineStr">
        <is>
          <t>19. Ludopatía</t>
        </is>
      </c>
      <c r="B20" t="inlineStr">
        <is>
          <t>Contextual</t>
        </is>
      </c>
      <c r="D20">
        <f>1/9</f>
        <v/>
      </c>
    </row>
    <row r="21">
      <c r="A21" t="inlineStr">
        <is>
          <t>20. Egoísmo</t>
        </is>
      </c>
      <c r="B21" t="inlineStr">
        <is>
          <t>Contextual</t>
        </is>
      </c>
      <c r="D21">
        <f>1/9</f>
        <v/>
      </c>
    </row>
    <row r="22">
      <c r="A22" t="inlineStr">
        <is>
          <t>21. Impunidad</t>
        </is>
      </c>
      <c r="B22" t="inlineStr">
        <is>
          <t>Contextual</t>
        </is>
      </c>
      <c r="D22">
        <f>1/9</f>
        <v/>
      </c>
    </row>
    <row r="23">
      <c r="A23" s="2" t="inlineStr">
        <is>
          <t>SUMA (debe ser 1.00 en columna C si TODAS las Base+Adicionales estan seleccionadas)</t>
        </is>
      </c>
      <c r="C23">
        <f>SUM(C2:C22)</f>
        <v/>
      </c>
      <c r="D23">
        <f>SUM(D2:D22)</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26" customWidth="1" min="1" max="1"/>
    <col width="11" customWidth="1" min="2" max="2"/>
    <col width="30" customWidth="1" min="3" max="3"/>
    <col width="16" customWidth="1" min="4" max="4"/>
    <col width="34" customWidth="1" min="5" max="5"/>
    <col width="30" customWidth="1" min="6" max="6"/>
    <col width="34" customWidth="1" min="7" max="7"/>
    <col width="46" customWidth="1" min="8" max="8"/>
    <col width="22" customWidth="1" min="9" max="9"/>
  </cols>
  <sheetData>
    <row r="1">
      <c r="A1" s="1" t="inlineStr">
        <is>
          <t>Dimension</t>
        </is>
      </c>
      <c r="B1" s="1" t="inlineStr">
        <is>
          <t>Grupo</t>
        </is>
      </c>
      <c r="C1" s="1" t="inlineStr">
        <is>
          <t>Promedio normalizado (0-1) del ejemplo cargado</t>
        </is>
      </c>
      <c r="D1" s="1" t="inlineStr">
        <is>
          <t>Peso de la dimension</t>
        </is>
      </c>
      <c r="E1" s="1" t="inlineStr">
        <is>
          <t>Contribucion al Indice General de Integridad (IGI)</t>
        </is>
      </c>
      <c r="F1" s="1" t="inlineStr">
        <is>
          <t>Puntaje reportado (x100, tope estructural x0.95)</t>
        </is>
      </c>
      <c r="G1" s="1" t="inlineStr">
        <is>
          <t>Invalidado (Si/No, input manual segun Fase 2 Seccion 5)</t>
        </is>
      </c>
      <c r="H1" s="1" t="inlineStr">
        <is>
          <t>Nivel (1-6, ver hoja Niveles_Corte)</t>
        </is>
      </c>
      <c r="I1" s="1" t="inlineStr">
        <is>
          <t>Color reportado</t>
        </is>
      </c>
    </row>
    <row r="2">
      <c r="A2" t="inlineStr">
        <is>
          <t>1. Robo</t>
        </is>
      </c>
      <c r="B2" t="inlineStr">
        <is>
          <t>Base</t>
        </is>
      </c>
      <c r="C2">
        <f>AVERAGEIF(Reactivos!$B$2:$B$76,A2,Reactivos!$K$2:$K$76)</f>
        <v/>
      </c>
      <c r="D2">
        <f>INDEX(Pesos_Dimensiones!$C$2:$C$22,MATCH(A2,Pesos_Dimensiones!$A$2:$A$22,0))</f>
        <v/>
      </c>
      <c r="E2">
        <f>IF(OR(B2="Base",B2="Adicional"),C2*D2,0)</f>
        <v/>
      </c>
      <c r="F2">
        <f>C2*100*0.95</f>
        <v/>
      </c>
      <c r="G2" t="inlineStr">
        <is>
          <t>No</t>
        </is>
      </c>
      <c r="H2" t="inlineStr">
        <is>
          <t>[PENDIENTE DE DATO PILOTO] - asignar nivel 1-6 segun percentil real una vez exista la hoja Niveles_Corte completa</t>
        </is>
      </c>
      <c r="I2">
        <f>IF(G2="Si","Gris","Pendiente de nivel (ver columna H)")</f>
        <v/>
      </c>
    </row>
    <row r="3">
      <c r="A3" t="inlineStr">
        <is>
          <t>2. Mentira</t>
        </is>
      </c>
      <c r="B3" t="inlineStr">
        <is>
          <t>Base</t>
        </is>
      </c>
      <c r="C3">
        <f>AVERAGEIF(Reactivos!$B$2:$B$76,A3,Reactivos!$K$2:$K$76)</f>
        <v/>
      </c>
      <c r="D3">
        <f>INDEX(Pesos_Dimensiones!$C$2:$C$22,MATCH(A3,Pesos_Dimensiones!$A$2:$A$22,0))</f>
        <v/>
      </c>
      <c r="E3">
        <f>IF(OR(B3="Base",B3="Adicional"),C3*D3,0)</f>
        <v/>
      </c>
      <c r="F3">
        <f>C3*100*0.95</f>
        <v/>
      </c>
      <c r="G3" t="inlineStr">
        <is>
          <t>No</t>
        </is>
      </c>
      <c r="H3" t="inlineStr">
        <is>
          <t>[PENDIENTE DE DATO PILOTO] - asignar nivel 1-6 segun percentil real una vez exista la hoja Niveles_Corte completa</t>
        </is>
      </c>
      <c r="I3">
        <f>IF(G3="Si","Gris","Pendiente de nivel (ver columna H)")</f>
        <v/>
      </c>
    </row>
    <row r="4">
      <c r="A4" t="inlineStr">
        <is>
          <t>3. Fraude</t>
        </is>
      </c>
      <c r="B4" t="inlineStr">
        <is>
          <t>Base</t>
        </is>
      </c>
      <c r="C4">
        <f>AVERAGEIF(Reactivos!$B$2:$B$76,A4,Reactivos!$K$2:$K$76)</f>
        <v/>
      </c>
      <c r="D4">
        <f>INDEX(Pesos_Dimensiones!$C$2:$C$22,MATCH(A4,Pesos_Dimensiones!$A$2:$A$22,0))</f>
        <v/>
      </c>
      <c r="E4">
        <f>IF(OR(B4="Base",B4="Adicional"),C4*D4,0)</f>
        <v/>
      </c>
      <c r="F4">
        <f>C4*100*0.95</f>
        <v/>
      </c>
      <c r="G4" t="inlineStr">
        <is>
          <t>No</t>
        </is>
      </c>
      <c r="H4" t="inlineStr">
        <is>
          <t>[PENDIENTE DE DATO PILOTO] - asignar nivel 1-6 segun percentil real una vez exista la hoja Niveles_Corte completa</t>
        </is>
      </c>
      <c r="I4">
        <f>IF(G4="Si","Gris","Pendiente de nivel (ver columna H)")</f>
        <v/>
      </c>
    </row>
    <row r="5">
      <c r="A5" t="inlineStr">
        <is>
          <t>4. Irresponsabilidad</t>
        </is>
      </c>
      <c r="B5" t="inlineStr">
        <is>
          <t>Base</t>
        </is>
      </c>
      <c r="C5">
        <f>AVERAGEIF(Reactivos!$B$2:$B$76,A5,Reactivos!$K$2:$K$76)</f>
        <v/>
      </c>
      <c r="D5">
        <f>INDEX(Pesos_Dimensiones!$C$2:$C$22,MATCH(A5,Pesos_Dimensiones!$A$2:$A$22,0))</f>
        <v/>
      </c>
      <c r="E5">
        <f>IF(OR(B5="Base",B5="Adicional"),C5*D5,0)</f>
        <v/>
      </c>
      <c r="F5">
        <f>C5*100*0.95</f>
        <v/>
      </c>
      <c r="G5" t="inlineStr">
        <is>
          <t>No</t>
        </is>
      </c>
      <c r="H5" t="inlineStr">
        <is>
          <t>[PENDIENTE DE DATO PILOTO] - asignar nivel 1-6 segun percentil real una vez exista la hoja Niveles_Corte completa</t>
        </is>
      </c>
      <c r="I5">
        <f>IF(G5="Si","Gris","Pendiente de nivel (ver columna H)")</f>
        <v/>
      </c>
    </row>
    <row r="6">
      <c r="A6" t="inlineStr">
        <is>
          <t>5. Soborno</t>
        </is>
      </c>
      <c r="B6" t="inlineStr">
        <is>
          <t>Base</t>
        </is>
      </c>
      <c r="C6">
        <f>AVERAGEIF(Reactivos!$B$2:$B$76,A6,Reactivos!$K$2:$K$76)</f>
        <v/>
      </c>
      <c r="D6">
        <f>INDEX(Pesos_Dimensiones!$C$2:$C$22,MATCH(A6,Pesos_Dimensiones!$A$2:$A$22,0))</f>
        <v/>
      </c>
      <c r="E6">
        <f>IF(OR(B6="Base",B6="Adicional"),C6*D6,0)</f>
        <v/>
      </c>
      <c r="F6">
        <f>C6*100*0.95</f>
        <v/>
      </c>
      <c r="G6" t="inlineStr">
        <is>
          <t>No</t>
        </is>
      </c>
      <c r="H6" t="inlineStr">
        <is>
          <t>[PENDIENTE DE DATO PILOTO] - asignar nivel 1-6 segun percentil real una vez exista la hoja Niveles_Corte completa</t>
        </is>
      </c>
      <c r="I6">
        <f>IF(G6="Si","Gris","Pendiente de nivel (ver columna H)")</f>
        <v/>
      </c>
    </row>
    <row r="7">
      <c r="A7" t="inlineStr">
        <is>
          <t>6. Deslealtad</t>
        </is>
      </c>
      <c r="B7" t="inlineStr">
        <is>
          <t>Adicional</t>
        </is>
      </c>
      <c r="C7">
        <f>AVERAGEIF(Reactivos!$B$2:$B$76,A7,Reactivos!$K$2:$K$76)</f>
        <v/>
      </c>
      <c r="D7">
        <f>INDEX(Pesos_Dimensiones!$C$2:$C$22,MATCH(A7,Pesos_Dimensiones!$A$2:$A$22,0))</f>
        <v/>
      </c>
      <c r="E7">
        <f>IF(OR(B7="Base",B7="Adicional"),C7*D7,0)</f>
        <v/>
      </c>
      <c r="F7">
        <f>C7*100*0.95</f>
        <v/>
      </c>
      <c r="G7" t="inlineStr">
        <is>
          <t>No</t>
        </is>
      </c>
      <c r="H7" t="inlineStr">
        <is>
          <t>[PENDIENTE DE DATO PILOTO] - asignar nivel 1-6 segun percentil real una vez exista la hoja Niveles_Corte completa</t>
        </is>
      </c>
      <c r="I7">
        <f>IF(G7="Si","Gris","Pendiente de nivel (ver columna H)")</f>
        <v/>
      </c>
    </row>
    <row r="8">
      <c r="A8" t="inlineStr">
        <is>
          <t>7. Favoritismo</t>
        </is>
      </c>
      <c r="B8" t="inlineStr">
        <is>
          <t>Adicional</t>
        </is>
      </c>
      <c r="C8">
        <f>AVERAGEIF(Reactivos!$B$2:$B$76,A8,Reactivos!$K$2:$K$76)</f>
        <v/>
      </c>
      <c r="D8">
        <f>INDEX(Pesos_Dimensiones!$C$2:$C$22,MATCH(A8,Pesos_Dimensiones!$A$2:$A$22,0))</f>
        <v/>
      </c>
      <c r="E8">
        <f>IF(OR(B8="Base",B8="Adicional"),C8*D8,0)</f>
        <v/>
      </c>
      <c r="F8">
        <f>C8*100*0.95</f>
        <v/>
      </c>
      <c r="G8" t="inlineStr">
        <is>
          <t>No</t>
        </is>
      </c>
      <c r="H8" t="inlineStr">
        <is>
          <t>[PENDIENTE DE DATO PILOTO] - asignar nivel 1-6 segun percentil real una vez exista la hoja Niveles_Corte completa</t>
        </is>
      </c>
      <c r="I8">
        <f>IF(G8="Si","Gris","Pendiente de nivel (ver columna H)")</f>
        <v/>
      </c>
    </row>
    <row r="9">
      <c r="A9" t="inlineStr">
        <is>
          <t>8. Abuso de Recursos</t>
        </is>
      </c>
      <c r="B9" t="inlineStr">
        <is>
          <t>Adicional</t>
        </is>
      </c>
      <c r="C9">
        <f>AVERAGEIF(Reactivos!$B$2:$B$76,A9,Reactivos!$K$2:$K$76)</f>
        <v/>
      </c>
      <c r="D9">
        <f>INDEX(Pesos_Dimensiones!$C$2:$C$22,MATCH(A9,Pesos_Dimensiones!$A$2:$A$22,0))</f>
        <v/>
      </c>
      <c r="E9">
        <f>IF(OR(B9="Base",B9="Adicional"),C9*D9,0)</f>
        <v/>
      </c>
      <c r="F9">
        <f>C9*100*0.95</f>
        <v/>
      </c>
      <c r="G9" t="inlineStr">
        <is>
          <t>No</t>
        </is>
      </c>
      <c r="H9" t="inlineStr">
        <is>
          <t>[PENDIENTE DE DATO PILOTO] - asignar nivel 1-6 segun percentil real una vez exista la hoja Niveles_Corte completa</t>
        </is>
      </c>
      <c r="I9">
        <f>IF(G9="Si","Gris","Pendiente de nivel (ver columna H)")</f>
        <v/>
      </c>
    </row>
    <row r="10">
      <c r="A10" t="inlineStr">
        <is>
          <t>9. Acoso Sexual</t>
        </is>
      </c>
      <c r="B10" t="inlineStr">
        <is>
          <t>Adicional</t>
        </is>
      </c>
      <c r="C10">
        <f>AVERAGEIF(Reactivos!$B$2:$B$76,A10,Reactivos!$K$2:$K$76)</f>
        <v/>
      </c>
      <c r="D10">
        <f>INDEX(Pesos_Dimensiones!$C$2:$C$22,MATCH(A10,Pesos_Dimensiones!$A$2:$A$22,0))</f>
        <v/>
      </c>
      <c r="E10">
        <f>IF(OR(B10="Base",B10="Adicional"),C10*D10,0)</f>
        <v/>
      </c>
      <c r="F10">
        <f>C10*100*0.95</f>
        <v/>
      </c>
      <c r="G10" t="inlineStr">
        <is>
          <t>No</t>
        </is>
      </c>
      <c r="H10" t="inlineStr">
        <is>
          <t>[PENDIENTE DE DATO PILOTO] - asignar nivel 1-6 segun percentil real una vez exista la hoja Niveles_Corte completa</t>
        </is>
      </c>
      <c r="I10">
        <f>IF(G10="Si","Gris","Pendiente de nivel (ver columna H)")</f>
        <v/>
      </c>
    </row>
    <row r="11">
      <c r="A11" t="inlineStr">
        <is>
          <t>10. Maltrato Laboral</t>
        </is>
      </c>
      <c r="B11" t="inlineStr">
        <is>
          <t>Adicional</t>
        </is>
      </c>
      <c r="C11">
        <f>AVERAGEIF(Reactivos!$B$2:$B$76,A11,Reactivos!$K$2:$K$76)</f>
        <v/>
      </c>
      <c r="D11">
        <f>INDEX(Pesos_Dimensiones!$C$2:$C$22,MATCH(A11,Pesos_Dimensiones!$A$2:$A$22,0))</f>
        <v/>
      </c>
      <c r="E11">
        <f>IF(OR(B11="Base",B11="Adicional"),C11*D11,0)</f>
        <v/>
      </c>
      <c r="F11">
        <f>C11*100*0.95</f>
        <v/>
      </c>
      <c r="G11" t="inlineStr">
        <is>
          <t>No</t>
        </is>
      </c>
      <c r="H11" t="inlineStr">
        <is>
          <t>[PENDIENTE DE DATO PILOTO] - asignar nivel 1-6 segun percentil real una vez exista la hoja Niveles_Corte completa</t>
        </is>
      </c>
      <c r="I11">
        <f>IF(G11="Si","Gris","Pendiente de nivel (ver columna H)")</f>
        <v/>
      </c>
    </row>
    <row r="12">
      <c r="A12" t="inlineStr">
        <is>
          <t>11. Discriminación</t>
        </is>
      </c>
      <c r="B12" t="inlineStr">
        <is>
          <t>Adicional</t>
        </is>
      </c>
      <c r="C12">
        <f>AVERAGEIF(Reactivos!$B$2:$B$76,A12,Reactivos!$K$2:$K$76)</f>
        <v/>
      </c>
      <c r="D12">
        <f>INDEX(Pesos_Dimensiones!$C$2:$C$22,MATCH(A12,Pesos_Dimensiones!$A$2:$A$22,0))</f>
        <v/>
      </c>
      <c r="E12">
        <f>IF(OR(B12="Base",B12="Adicional"),C12*D12,0)</f>
        <v/>
      </c>
      <c r="F12">
        <f>C12*100*0.95</f>
        <v/>
      </c>
      <c r="G12" t="inlineStr">
        <is>
          <t>No</t>
        </is>
      </c>
      <c r="H12" t="inlineStr">
        <is>
          <t>[PENDIENTE DE DATO PILOTO] - asignar nivel 1-6 segun percentil real una vez exista la hoja Niveles_Corte completa</t>
        </is>
      </c>
      <c r="I12">
        <f>IF(G12="Si","Gris","Pendiente de nivel (ver columna H)")</f>
        <v/>
      </c>
    </row>
    <row r="13">
      <c r="A13" t="inlineStr">
        <is>
          <t>12. Asociación Criminal</t>
        </is>
      </c>
      <c r="B13" t="inlineStr">
        <is>
          <t>Adicional</t>
        </is>
      </c>
      <c r="C13">
        <f>AVERAGEIF(Reactivos!$B$2:$B$76,A13,Reactivos!$K$2:$K$76)</f>
        <v/>
      </c>
      <c r="D13">
        <f>INDEX(Pesos_Dimensiones!$C$2:$C$22,MATCH(A13,Pesos_Dimensiones!$A$2:$A$22,0))</f>
        <v/>
      </c>
      <c r="E13">
        <f>IF(OR(B13="Base",B13="Adicional"),C13*D13,0)</f>
        <v/>
      </c>
      <c r="F13">
        <f>C13*100*0.95</f>
        <v/>
      </c>
      <c r="G13" t="inlineStr">
        <is>
          <t>No</t>
        </is>
      </c>
      <c r="H13" t="inlineStr">
        <is>
          <t>[PENDIENTE DE DATO PILOTO] - asignar nivel 1-6 segun percentil real una vez exista la hoja Niveles_Corte completa</t>
        </is>
      </c>
      <c r="I13">
        <f>IF(G13="Si","Gris","Pendiente de nivel (ver columna H)")</f>
        <v/>
      </c>
    </row>
    <row r="14">
      <c r="A14" t="inlineStr">
        <is>
          <t>13. Sustancias Lícitas</t>
        </is>
      </c>
      <c r="B14" t="inlineStr">
        <is>
          <t>Contextual</t>
        </is>
      </c>
      <c r="C14">
        <f>AVERAGEIF(Reactivos!$B$2:$B$76,A14,Reactivos!$K$2:$K$76)</f>
        <v/>
      </c>
      <c r="D14">
        <f>INDEX(Pesos_Dimensiones!$C$2:$C$22,MATCH(A14,Pesos_Dimensiones!$A$2:$A$22,0))</f>
        <v/>
      </c>
      <c r="E14">
        <f>IF(OR(B14="Base",B14="Adicional"),C14*D14,0)</f>
        <v/>
      </c>
      <c r="F14">
        <f>C14*100*0.95</f>
        <v/>
      </c>
      <c r="G14" t="inlineStr">
        <is>
          <t>No</t>
        </is>
      </c>
      <c r="H14" t="inlineStr">
        <is>
          <t>[PENDIENTE DE DATO PILOTO] - asignar nivel 1-6 segun percentil real una vez exista la hoja Niveles_Corte completa</t>
        </is>
      </c>
      <c r="I14">
        <f>IF(G14="Si","Gris","Pendiente de nivel (ver columna H)")</f>
        <v/>
      </c>
    </row>
    <row r="15">
      <c r="A15" t="inlineStr">
        <is>
          <t>14. Sustancias Ilícitas</t>
        </is>
      </c>
      <c r="B15" t="inlineStr">
        <is>
          <t>Contextual</t>
        </is>
      </c>
      <c r="C15">
        <f>AVERAGEIF(Reactivos!$B$2:$B$76,A15,Reactivos!$K$2:$K$76)</f>
        <v/>
      </c>
      <c r="D15">
        <f>INDEX(Pesos_Dimensiones!$C$2:$C$22,MATCH(A15,Pesos_Dimensiones!$A$2:$A$22,0))</f>
        <v/>
      </c>
      <c r="E15">
        <f>IF(OR(B15="Base",B15="Adicional"),C15*D15,0)</f>
        <v/>
      </c>
      <c r="F15">
        <f>C15*100*0.95</f>
        <v/>
      </c>
      <c r="G15" t="inlineStr">
        <is>
          <t>No</t>
        </is>
      </c>
      <c r="H15" t="inlineStr">
        <is>
          <t>[PENDIENTE DE DATO PILOTO] - asignar nivel 1-6 segun percentil real una vez exista la hoja Niveles_Corte completa</t>
        </is>
      </c>
      <c r="I15">
        <f>IF(G15="Si","Gris","Pendiente de nivel (ver columna H)")</f>
        <v/>
      </c>
    </row>
    <row r="16">
      <c r="A16" t="inlineStr">
        <is>
          <t>15. Incumplimiento de Normas</t>
        </is>
      </c>
      <c r="B16" t="inlineStr">
        <is>
          <t>Contextual</t>
        </is>
      </c>
      <c r="C16">
        <f>AVERAGEIF(Reactivos!$B$2:$B$76,A16,Reactivos!$K$2:$K$76)</f>
        <v/>
      </c>
      <c r="D16">
        <f>INDEX(Pesos_Dimensiones!$C$2:$C$22,MATCH(A16,Pesos_Dimensiones!$A$2:$A$22,0))</f>
        <v/>
      </c>
      <c r="E16">
        <f>IF(OR(B16="Base",B16="Adicional"),C16*D16,0)</f>
        <v/>
      </c>
      <c r="F16">
        <f>C16*100*0.95</f>
        <v/>
      </c>
      <c r="G16" t="inlineStr">
        <is>
          <t>No</t>
        </is>
      </c>
      <c r="H16" t="inlineStr">
        <is>
          <t>[PENDIENTE DE DATO PILOTO] - asignar nivel 1-6 segun percentil real una vez exista la hoja Niveles_Corte completa</t>
        </is>
      </c>
      <c r="I16">
        <f>IF(G16="Si","Gris","Pendiente de nivel (ver columna H)")</f>
        <v/>
      </c>
    </row>
    <row r="17">
      <c r="A17" t="inlineStr">
        <is>
          <t>16. Deudas</t>
        </is>
      </c>
      <c r="B17" t="inlineStr">
        <is>
          <t>Contextual</t>
        </is>
      </c>
      <c r="C17">
        <f>AVERAGEIF(Reactivos!$B$2:$B$76,A17,Reactivos!$K$2:$K$76)</f>
        <v/>
      </c>
      <c r="D17">
        <f>INDEX(Pesos_Dimensiones!$C$2:$C$22,MATCH(A17,Pesos_Dimensiones!$A$2:$A$22,0))</f>
        <v/>
      </c>
      <c r="E17">
        <f>IF(OR(B17="Base",B17="Adicional"),C17*D17,0)</f>
        <v/>
      </c>
      <c r="F17">
        <f>C17*100*0.95</f>
        <v/>
      </c>
      <c r="G17" t="inlineStr">
        <is>
          <t>No</t>
        </is>
      </c>
      <c r="H17" t="inlineStr">
        <is>
          <t>[PENDIENTE DE DATO PILOTO] - asignar nivel 1-6 segun percentil real una vez exista la hoja Niveles_Corte completa</t>
        </is>
      </c>
      <c r="I17">
        <f>IF(G17="Si","Gris","Pendiente de nivel (ver columna H)")</f>
        <v/>
      </c>
    </row>
    <row r="18">
      <c r="A18" t="inlineStr">
        <is>
          <t>17. Impulsividad</t>
        </is>
      </c>
      <c r="B18" t="inlineStr">
        <is>
          <t>Contextual</t>
        </is>
      </c>
      <c r="C18">
        <f>AVERAGEIF(Reactivos!$B$2:$B$76,A18,Reactivos!$K$2:$K$76)</f>
        <v/>
      </c>
      <c r="D18">
        <f>INDEX(Pesos_Dimensiones!$C$2:$C$22,MATCH(A18,Pesos_Dimensiones!$A$2:$A$22,0))</f>
        <v/>
      </c>
      <c r="E18">
        <f>IF(OR(B18="Base",B18="Adicional"),C18*D18,0)</f>
        <v/>
      </c>
      <c r="F18">
        <f>C18*100*0.95</f>
        <v/>
      </c>
      <c r="G18" t="inlineStr">
        <is>
          <t>No</t>
        </is>
      </c>
      <c r="H18" t="inlineStr">
        <is>
          <t>[PENDIENTE DE DATO PILOTO] - asignar nivel 1-6 segun percentil real una vez exista la hoja Niveles_Corte completa</t>
        </is>
      </c>
      <c r="I18">
        <f>IF(G18="Si","Gris","Pendiente de nivel (ver columna H)")</f>
        <v/>
      </c>
    </row>
    <row r="19">
      <c r="A19" t="inlineStr">
        <is>
          <t>18. Violencia</t>
        </is>
      </c>
      <c r="B19" t="inlineStr">
        <is>
          <t>Contextual</t>
        </is>
      </c>
      <c r="C19">
        <f>AVERAGEIF(Reactivos!$B$2:$B$76,A19,Reactivos!$K$2:$K$76)</f>
        <v/>
      </c>
      <c r="D19">
        <f>INDEX(Pesos_Dimensiones!$C$2:$C$22,MATCH(A19,Pesos_Dimensiones!$A$2:$A$22,0))</f>
        <v/>
      </c>
      <c r="E19">
        <f>IF(OR(B19="Base",B19="Adicional"),C19*D19,0)</f>
        <v/>
      </c>
      <c r="F19">
        <f>C19*100*0.95</f>
        <v/>
      </c>
      <c r="G19" t="inlineStr">
        <is>
          <t>No</t>
        </is>
      </c>
      <c r="H19" t="inlineStr">
        <is>
          <t>[PENDIENTE DE DATO PILOTO] - asignar nivel 1-6 segun percentil real una vez exista la hoja Niveles_Corte completa</t>
        </is>
      </c>
      <c r="I19">
        <f>IF(G19="Si","Gris","Pendiente de nivel (ver columna H)")</f>
        <v/>
      </c>
    </row>
    <row r="20">
      <c r="A20" t="inlineStr">
        <is>
          <t>19. Ludopatía</t>
        </is>
      </c>
      <c r="B20" t="inlineStr">
        <is>
          <t>Contextual</t>
        </is>
      </c>
      <c r="C20">
        <f>AVERAGEIF(Reactivos!$B$2:$B$76,A20,Reactivos!$K$2:$K$76)</f>
        <v/>
      </c>
      <c r="D20">
        <f>INDEX(Pesos_Dimensiones!$C$2:$C$22,MATCH(A20,Pesos_Dimensiones!$A$2:$A$22,0))</f>
        <v/>
      </c>
      <c r="E20">
        <f>IF(OR(B20="Base",B20="Adicional"),C20*D20,0)</f>
        <v/>
      </c>
      <c r="F20">
        <f>C20*100*0.95</f>
        <v/>
      </c>
      <c r="G20" t="inlineStr">
        <is>
          <t>No</t>
        </is>
      </c>
      <c r="H20" t="inlineStr">
        <is>
          <t>[PENDIENTE DE DATO PILOTO] - asignar nivel 1-6 segun percentil real una vez exista la hoja Niveles_Corte completa</t>
        </is>
      </c>
      <c r="I20">
        <f>IF(G20="Si","Gris","Pendiente de nivel (ver columna H)")</f>
        <v/>
      </c>
    </row>
    <row r="21">
      <c r="A21" t="inlineStr">
        <is>
          <t>20. Egoísmo</t>
        </is>
      </c>
      <c r="B21" t="inlineStr">
        <is>
          <t>Contextual</t>
        </is>
      </c>
      <c r="C21">
        <f>AVERAGEIF(Reactivos!$B$2:$B$76,A21,Reactivos!$K$2:$K$76)</f>
        <v/>
      </c>
      <c r="D21">
        <f>INDEX(Pesos_Dimensiones!$C$2:$C$22,MATCH(A21,Pesos_Dimensiones!$A$2:$A$22,0))</f>
        <v/>
      </c>
      <c r="E21">
        <f>IF(OR(B21="Base",B21="Adicional"),C21*D21,0)</f>
        <v/>
      </c>
      <c r="F21">
        <f>C21*100*0.95</f>
        <v/>
      </c>
      <c r="G21" t="inlineStr">
        <is>
          <t>No</t>
        </is>
      </c>
      <c r="H21" t="inlineStr">
        <is>
          <t>[PENDIENTE DE DATO PILOTO] - asignar nivel 1-6 segun percentil real una vez exista la hoja Niveles_Corte completa</t>
        </is>
      </c>
      <c r="I21">
        <f>IF(G21="Si","Gris","Pendiente de nivel (ver columna H)")</f>
        <v/>
      </c>
    </row>
    <row r="22">
      <c r="A22" t="inlineStr">
        <is>
          <t>21. Impunidad</t>
        </is>
      </c>
      <c r="B22" t="inlineStr">
        <is>
          <t>Contextual</t>
        </is>
      </c>
      <c r="C22">
        <f>AVERAGEIF(Reactivos!$B$2:$B$76,A22,Reactivos!$K$2:$K$76)</f>
        <v/>
      </c>
      <c r="D22">
        <f>INDEX(Pesos_Dimensiones!$C$2:$C$22,MATCH(A22,Pesos_Dimensiones!$A$2:$A$22,0))</f>
        <v/>
      </c>
      <c r="E22">
        <f>IF(OR(B22="Base",B22="Adicional"),C22*D22,0)</f>
        <v/>
      </c>
      <c r="F22">
        <f>C22*100*0.95</f>
        <v/>
      </c>
      <c r="G22" t="inlineStr">
        <is>
          <t>No</t>
        </is>
      </c>
      <c r="H22" t="inlineStr">
        <is>
          <t>[PENDIENTE DE DATO PILOTO] - asignar nivel 1-6 segun percentil real una vez exista la hoja Niveles_Corte completa</t>
        </is>
      </c>
      <c r="I22">
        <f>IF(G22="Si","Gris","Pendiente de nivel (ver columna H)")</f>
        <v/>
      </c>
    </row>
    <row r="23">
      <c r="A23" s="3" t="inlineStr">
        <is>
          <t>IGI (Indice General de Integridad, suma de contribuciones)</t>
        </is>
      </c>
      <c r="E23" s="3">
        <f>SUM(E2:E22)</f>
        <v/>
      </c>
      <c r="F23" s="3">
        <f>E23*100*0.95</f>
        <v/>
      </c>
      <c r="G23" s="3" t="inlineStr">
        <is>
          <t>No</t>
        </is>
      </c>
      <c r="I23" s="3">
        <f>IF(G23="Si","Gris","Pendiente de nivel")</f>
        <v/>
      </c>
    </row>
    <row r="24">
      <c r="A24" s="3" t="inlineStr">
        <is>
          <t>IIC (Indice de Integridad Complementario = 1 - IGI)</t>
        </is>
      </c>
      <c r="E24" s="3">
        <f>1-E23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22" customWidth="1" min="2" max="2"/>
    <col width="40" customWidth="1" min="3" max="3"/>
    <col width="40" customWidth="1" min="4" max="4"/>
    <col width="16" customWidth="1" min="5" max="5"/>
  </cols>
  <sheetData>
    <row r="1">
      <c r="A1" s="1" t="inlineStr">
        <is>
          <t>Nivel</t>
        </is>
      </c>
      <c r="B1" s="1" t="inlineStr">
        <is>
          <t>Etiqueta</t>
        </is>
      </c>
      <c r="C1" s="1" t="inlineStr">
        <is>
          <t>Percentil_min</t>
        </is>
      </c>
      <c r="D1" s="1" t="inlineStr">
        <is>
          <t>Percentil_max</t>
        </is>
      </c>
      <c r="E1" s="1" t="inlineStr">
        <is>
          <t>Color (semaforo)</t>
        </is>
      </c>
    </row>
    <row r="2">
      <c r="A2" t="n">
        <v>1</v>
      </c>
      <c r="B2" t="inlineStr">
        <is>
          <t>Riesgo Muy Bajo</t>
        </is>
      </c>
      <c r="C2" t="inlineStr">
        <is>
          <t>[PENDIENTE DE DATO PILOTO]</t>
        </is>
      </c>
      <c r="D2" t="inlineStr">
        <is>
          <t>[PENDIENTE DE DATO PILOTO]</t>
        </is>
      </c>
      <c r="E2" t="inlineStr">
        <is>
          <t>Verde</t>
        </is>
      </c>
    </row>
    <row r="3">
      <c r="A3" t="n">
        <v>2</v>
      </c>
      <c r="B3" t="inlineStr">
        <is>
          <t>Riesgo Bajo</t>
        </is>
      </c>
      <c r="C3" t="inlineStr">
        <is>
          <t>[PENDIENTE DE DATO PILOTO]</t>
        </is>
      </c>
      <c r="D3" t="inlineStr">
        <is>
          <t>[PENDIENTE DE DATO PILOTO]</t>
        </is>
      </c>
      <c r="E3" t="inlineStr">
        <is>
          <t>Verde</t>
        </is>
      </c>
    </row>
    <row r="4">
      <c r="A4" t="n">
        <v>3</v>
      </c>
      <c r="B4" t="inlineStr">
        <is>
          <t>Riesgo Moderado-Bajo</t>
        </is>
      </c>
      <c r="C4" t="inlineStr">
        <is>
          <t>[PENDIENTE DE DATO PILOTO]</t>
        </is>
      </c>
      <c r="D4" t="inlineStr">
        <is>
          <t>[PENDIENTE DE DATO PILOTO]</t>
        </is>
      </c>
      <c r="E4" t="inlineStr">
        <is>
          <t>Amarillo</t>
        </is>
      </c>
    </row>
    <row r="5">
      <c r="A5" t="n">
        <v>4</v>
      </c>
      <c r="B5" t="inlineStr">
        <is>
          <t>Riesgo Moderado-Alto</t>
        </is>
      </c>
      <c r="C5" t="inlineStr">
        <is>
          <t>[PENDIENTE DE DATO PILOTO]</t>
        </is>
      </c>
      <c r="D5" t="inlineStr">
        <is>
          <t>[PENDIENTE DE DATO PILOTO]</t>
        </is>
      </c>
      <c r="E5" t="inlineStr">
        <is>
          <t>Amarillo</t>
        </is>
      </c>
    </row>
    <row r="6">
      <c r="A6" t="n">
        <v>5</v>
      </c>
      <c r="B6" t="inlineStr">
        <is>
          <t>Riesgo Alto</t>
        </is>
      </c>
      <c r="C6" t="inlineStr">
        <is>
          <t>[PENDIENTE DE DATO PILOTO]</t>
        </is>
      </c>
      <c r="D6" t="inlineStr">
        <is>
          <t>[PENDIENTE DE DATO PILOTO]</t>
        </is>
      </c>
      <c r="E6" t="inlineStr">
        <is>
          <t>Rojo</t>
        </is>
      </c>
    </row>
    <row r="7">
      <c r="A7" t="n">
        <v>6</v>
      </c>
      <c r="B7" t="inlineStr">
        <is>
          <t>Riesgo Muy Alto</t>
        </is>
      </c>
      <c r="C7" t="inlineStr">
        <is>
          <t>[PENDIENTE DE DATO PILOTO]</t>
        </is>
      </c>
      <c r="D7" t="inlineStr">
        <is>
          <t>[PENDIENTE DE DATO PILOTO]</t>
        </is>
      </c>
      <c r="E7" t="inlineStr">
        <is>
          <t>Rojo</t>
        </is>
      </c>
    </row>
    <row r="9">
      <c r="A9" s="2" t="inlineStr">
        <is>
          <t>Los percentiles minimo/maximo de cada nivel NO se inventan (DECISIONS.md, 'Reglas de trabajo permanentes'): se completan con los percentiles reales de la muestra piloto (Fase 8-9). El semaforo (columna E) agrupa Nivel 1-2=Verde, 3-4=Amarillo, 5-6=Rojo (DECISIONS.md punto 21), y es independiente de la invalidacion: un resultado invalidado siempre se muestra en Gris sin importar su nivel (Fase 6 Modelo de Calculo, Seccion 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4" t="inlineStr">
        <is>
          <t>Fase 6 — Matriz de Scoring — Notas y convenciones (Version 3 en curso, 21 dimensiones)</t>
        </is>
      </c>
    </row>
    <row r="2">
      <c r="A2" t="inlineStr"/>
    </row>
    <row r="3">
      <c r="A3" t="inlineStr">
        <is>
          <t>0. [EN CURSO 2026-09-10] Esta hoja de calculo todavia refleja el banco de 75 reactivos de la Version 2 (4 por dimension Nucleo). George ya confirmo subir a 8 reactivos por dimension Nucleo (4 pares espejo completos, 123 reactivos totales, DECISIONS.md punto 16-18); las hojas 'Reactivos', 'Pesos_Dimensiones' y 'Resumen_Dimensiones' se regeneraran automaticamente desde reactivos_flat.json en cuanto el banco de 123 reactivos este completo y verificado. Las hojas 'Niveles_Corte' y las columnas de tope del 95%/color (Resumen_Dimensiones, columnas F-I) ya reflejan el modelo final y no dependen del numero de reactivos.</t>
        </is>
      </c>
    </row>
    <row r="4">
      <c r="A4" t="inlineStr"/>
    </row>
    <row r="5">
      <c r="A5" t="inlineStr">
        <is>
          <t>1. Esta matriz reemplaza integramente la version v1 (20 dimensiones, 80 reactivos) y la v2 (21 dimensiones, 75 reactivos). La formula, la mecanica de columnas y el nombre de las hojas se mantienen; lo que cambia entre v2 y v3 es el numero de reactivos por dimension Nucleo (4-&gt;8) y se agregan el tope del 95%, los niveles de corte/semaforo y la correccion del tratamiento de invalidacion (ver Fase6_Modelo_Calculo.docx, Secciones 8-10).</t>
        </is>
      </c>
    </row>
    <row r="6">
      <c r="A6" t="inlineStr"/>
    </row>
    <row r="7">
      <c r="A7" t="inlineStr">
        <is>
          <t>2. Hoja 'Reactivos': una fila por cada uno de los 75 reactivos. La columna C (Grupo) se trae automaticamente desde 'Pesos_Dimensiones' segun el nombre de la dimension en la columna B. La columna J (Valor transformado) aplica la regla de direccionalidad (Fase 6, Modelo de Calculo, Paso 1): si el reactivo es Inverso, Valor_max menos la respuesta cruda; si es Directo, la respuesta cruda tal cual. La columna K normaliza ese valor a una escala 0-1 dividiendo entre el Valor_max del reactivo.</t>
        </is>
      </c>
    </row>
    <row r="8">
      <c r="A8" t="inlineStr"/>
    </row>
    <row r="9">
      <c r="A9" t="inlineStr">
        <is>
          <t>3. Columna P (Contribucion maxima al indice general): solo los reactivos de dimensiones con Grupo 'Base' o 'Adicional' contribuyen al IGI; los reactivos de dimensiones 'Contextual' siempre devuelven 0 en esta columna, conforme a DECISIONS.md (las Factores Contextuales NUNCA entran al IGI).</t>
        </is>
      </c>
    </row>
    <row r="10">
      <c r="A10" t="inlineStr"/>
    </row>
    <row r="11">
      <c r="A11" t="inlineStr">
        <is>
          <t>4. Hoja 'Pesos_Dimensiones': el peso de cada dimension Base/Adicional es parametrizable en la columna C; esta version de partida asigna peso igual (1/12) a las 12 dimensiones Nucleo (5 Base + 7 Adicionales), bajo el supuesto [HIPOTESIS] de que no hay evidencia empirica aun que justifique ponderar una mas que otra (ver Fase 6, Modelo de Calculo, Seccion 5). Debe recalibrarse con los resultados del analisis factorial de la Fase 9.</t>
        </is>
      </c>
    </row>
    <row r="12">
      <c r="A12" t="inlineStr"/>
    </row>
    <row r="13">
      <c r="A13" t="inlineStr">
        <is>
          <t>5. IMPORTANTE - configuracion por puesto: esta matriz de partida asume que las 12 dimensiones Nucleo (5 Base + 7 Adicionales) estan TODAS seleccionadas para la bateria, por lo que sus 12 pesos suman 1.00. Al configurar una bateria real para un puesto especifico (que casi siempre usara la Base obligatoria + solo ALGUNAS Adicionales, ver DECISIONS.md 'Regla de configuracion por puesto'), se deben: (a) dejar en la hoja 'Reactivos' unicamente las filas de las dimensiones seleccionadas para esa bateria, y (b) re-parametrizar los pesos de la hoja 'Pesos_Dimensiones' para que las dimensiones Nucleo seleccionadas (y solo esas) sumen 1.00 en la columna C.</t>
        </is>
      </c>
    </row>
    <row r="14">
      <c r="A14" t="inlineStr"/>
    </row>
    <row r="15">
      <c r="A15" t="inlineStr">
        <is>
          <t>6. Hoja 'Resumen_Dimensiones': calcula el promedio normalizado de cada dimension a partir de las respuestas cargadas en 'Reactivos', y consolida el Indice General de Integridad (IGI, suma de las contribuciones Base+Adicional) y su complementario IIC = 1 - IGI (usado en la capa de salida individual, ver Fase 7 y Fase 10).</t>
        </is>
      </c>
    </row>
    <row r="16">
      <c r="A16" t="inlineStr"/>
    </row>
    <row r="17">
      <c r="A17" t="inlineStr">
        <is>
          <t>7. Los valores de respuesta cruda (columna I de 'Reactivos') vienen precargados en 0 (la respuesta de menor riesgo de cada reactivo); son completamente editables para simular un caso o cargar datos reales de una aplicacion.</t>
        </is>
      </c>
    </row>
    <row r="18">
      <c r="A18" t="inlineStr"/>
    </row>
    <row r="19">
      <c r="A19" t="inlineStr">
        <is>
          <t>8. [DESCONOCIDO] Esta matriz no incorpora todavia los 4 indicadores de validez del protocolo (Azarosidad, Omision, Aquiescencia, Contradiccion, definidos en la Fase 2) como columnas de calculo automatico; se documentan en prosa en Fase6_Modelo_Calculo.docx y se ilustran manualmente en el ejemplo de la Fase 7. Automatizarlos como formulas de esta misma hoja es una mejora sugerida para una iteracion futura del archivo, una vez exista una interfaz real de aplicacion del test.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2026-09-10T02:48:15Z</dcterms:created>
  <dcterms:modified xmlns:dcterms="http://purl.org/dc/terms/" xmlns:xsi="http://www.w3.org/2001/XMLSchema-instance" xsi:type="dcterms:W3CDTF">2026-09-10T02:48:15Z</dcterms:modified>
</cp:coreProperties>
</file>